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E:\uni\8\tasmim\paper\"/>
    </mc:Choice>
  </mc:AlternateContent>
  <xr:revisionPtr revIDLastSave="0" documentId="13_ncr:1_{0386E28B-D2AA-450D-BD24-D4C150DAFD45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Paper" sheetId="1" r:id="rId1"/>
    <sheet name="New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2" l="1"/>
  <c r="J52" i="2" s="1"/>
  <c r="I36" i="2"/>
  <c r="I52" i="2" s="1"/>
  <c r="H36" i="2"/>
  <c r="H52" i="2" s="1"/>
  <c r="G36" i="2"/>
  <c r="G52" i="2" s="1"/>
  <c r="F36" i="2"/>
  <c r="F52" i="2" s="1"/>
  <c r="E36" i="2"/>
  <c r="E52" i="2" s="1"/>
  <c r="D36" i="2"/>
  <c r="D52" i="2" s="1"/>
  <c r="C36" i="2"/>
  <c r="C52" i="2" s="1"/>
  <c r="J35" i="2"/>
  <c r="J51" i="2" s="1"/>
  <c r="I35" i="2"/>
  <c r="I51" i="2" s="1"/>
  <c r="H35" i="2"/>
  <c r="H51" i="2" s="1"/>
  <c r="G35" i="2"/>
  <c r="G51" i="2" s="1"/>
  <c r="F35" i="2"/>
  <c r="F51" i="2" s="1"/>
  <c r="E35" i="2"/>
  <c r="E51" i="2" s="1"/>
  <c r="D35" i="2"/>
  <c r="D51" i="2" s="1"/>
  <c r="C35" i="2"/>
  <c r="C51" i="2" s="1"/>
  <c r="J34" i="2"/>
  <c r="J50" i="2" s="1"/>
  <c r="I34" i="2"/>
  <c r="I50" i="2" s="1"/>
  <c r="H34" i="2"/>
  <c r="H50" i="2" s="1"/>
  <c r="G34" i="2"/>
  <c r="G50" i="2" s="1"/>
  <c r="F34" i="2"/>
  <c r="F50" i="2" s="1"/>
  <c r="E34" i="2"/>
  <c r="E50" i="2" s="1"/>
  <c r="D34" i="2"/>
  <c r="D50" i="2" s="1"/>
  <c r="C34" i="2"/>
  <c r="C50" i="2" s="1"/>
  <c r="J33" i="2"/>
  <c r="J49" i="2" s="1"/>
  <c r="I33" i="2"/>
  <c r="I49" i="2" s="1"/>
  <c r="H33" i="2"/>
  <c r="H49" i="2" s="1"/>
  <c r="G33" i="2"/>
  <c r="G49" i="2" s="1"/>
  <c r="F33" i="2"/>
  <c r="F49" i="2" s="1"/>
  <c r="E33" i="2"/>
  <c r="E49" i="2" s="1"/>
  <c r="D33" i="2"/>
  <c r="D49" i="2" s="1"/>
  <c r="C33" i="2"/>
  <c r="C49" i="2" s="1"/>
  <c r="J32" i="2"/>
  <c r="J48" i="2" s="1"/>
  <c r="I32" i="2"/>
  <c r="I48" i="2" s="1"/>
  <c r="H32" i="2"/>
  <c r="H48" i="2" s="1"/>
  <c r="G32" i="2"/>
  <c r="G48" i="2" s="1"/>
  <c r="F32" i="2"/>
  <c r="F48" i="2" s="1"/>
  <c r="E32" i="2"/>
  <c r="E48" i="2" s="1"/>
  <c r="D32" i="2"/>
  <c r="D48" i="2" s="1"/>
  <c r="C32" i="2"/>
  <c r="C48" i="2" s="1"/>
  <c r="J31" i="2"/>
  <c r="J47" i="2" s="1"/>
  <c r="I31" i="2"/>
  <c r="I47" i="2" s="1"/>
  <c r="H31" i="2"/>
  <c r="H47" i="2" s="1"/>
  <c r="G31" i="2"/>
  <c r="G47" i="2" s="1"/>
  <c r="F31" i="2"/>
  <c r="F47" i="2" s="1"/>
  <c r="E31" i="2"/>
  <c r="E47" i="2" s="1"/>
  <c r="D31" i="2"/>
  <c r="D47" i="2" s="1"/>
  <c r="C31" i="2"/>
  <c r="C47" i="2" s="1"/>
  <c r="J30" i="2"/>
  <c r="J46" i="2" s="1"/>
  <c r="I30" i="2"/>
  <c r="I46" i="2" s="1"/>
  <c r="H30" i="2"/>
  <c r="H46" i="2" s="1"/>
  <c r="G30" i="2"/>
  <c r="G46" i="2" s="1"/>
  <c r="F30" i="2"/>
  <c r="F46" i="2" s="1"/>
  <c r="E30" i="2"/>
  <c r="E46" i="2" s="1"/>
  <c r="D30" i="2"/>
  <c r="D46" i="2" s="1"/>
  <c r="C30" i="2"/>
  <c r="C46" i="2" s="1"/>
  <c r="J29" i="2"/>
  <c r="J45" i="2" s="1"/>
  <c r="I29" i="2"/>
  <c r="I45" i="2" s="1"/>
  <c r="H29" i="2"/>
  <c r="H45" i="2" s="1"/>
  <c r="G29" i="2"/>
  <c r="G45" i="2" s="1"/>
  <c r="F29" i="2"/>
  <c r="F45" i="2" s="1"/>
  <c r="E29" i="2"/>
  <c r="E45" i="2" s="1"/>
  <c r="D29" i="2"/>
  <c r="D45" i="2" s="1"/>
  <c r="C29" i="2"/>
  <c r="C45" i="2" s="1"/>
  <c r="J28" i="2"/>
  <c r="J44" i="2" s="1"/>
  <c r="I28" i="2"/>
  <c r="I44" i="2" s="1"/>
  <c r="H28" i="2"/>
  <c r="H44" i="2" s="1"/>
  <c r="G28" i="2"/>
  <c r="G44" i="2" s="1"/>
  <c r="F28" i="2"/>
  <c r="F44" i="2" s="1"/>
  <c r="E28" i="2"/>
  <c r="E44" i="2" s="1"/>
  <c r="D28" i="2"/>
  <c r="D44" i="2" s="1"/>
  <c r="C28" i="2"/>
  <c r="C44" i="2" s="1"/>
  <c r="J27" i="2"/>
  <c r="J43" i="2" s="1"/>
  <c r="I27" i="2"/>
  <c r="I43" i="2" s="1"/>
  <c r="H27" i="2"/>
  <c r="H43" i="2" s="1"/>
  <c r="G27" i="2"/>
  <c r="G43" i="2" s="1"/>
  <c r="F27" i="2"/>
  <c r="F43" i="2" s="1"/>
  <c r="E27" i="2"/>
  <c r="E43" i="2" s="1"/>
  <c r="D27" i="2"/>
  <c r="D43" i="2" s="1"/>
  <c r="C27" i="2"/>
  <c r="C43" i="2" s="1"/>
  <c r="J26" i="2"/>
  <c r="J42" i="2" s="1"/>
  <c r="I26" i="2"/>
  <c r="I42" i="2" s="1"/>
  <c r="H26" i="2"/>
  <c r="H42" i="2" s="1"/>
  <c r="G26" i="2"/>
  <c r="G42" i="2" s="1"/>
  <c r="F26" i="2"/>
  <c r="F42" i="2" s="1"/>
  <c r="E26" i="2"/>
  <c r="E42" i="2" s="1"/>
  <c r="D26" i="2"/>
  <c r="D42" i="2" s="1"/>
  <c r="C26" i="2"/>
  <c r="C42" i="2" s="1"/>
  <c r="J25" i="2"/>
  <c r="J41" i="2" s="1"/>
  <c r="I25" i="2"/>
  <c r="I41" i="2" s="1"/>
  <c r="H25" i="2"/>
  <c r="H41" i="2" s="1"/>
  <c r="G25" i="2"/>
  <c r="G41" i="2" s="1"/>
  <c r="F25" i="2"/>
  <c r="F41" i="2" s="1"/>
  <c r="E25" i="2"/>
  <c r="E41" i="2" s="1"/>
  <c r="D25" i="2"/>
  <c r="D41" i="2" s="1"/>
  <c r="C25" i="2"/>
  <c r="C41" i="2" s="1"/>
  <c r="L25" i="1"/>
  <c r="L41" i="1" s="1"/>
  <c r="L26" i="1"/>
  <c r="L42" i="1" s="1"/>
  <c r="L27" i="1"/>
  <c r="L43" i="1" s="1"/>
  <c r="L28" i="1"/>
  <c r="L44" i="1" s="1"/>
  <c r="L29" i="1"/>
  <c r="L45" i="1" s="1"/>
  <c r="L30" i="1"/>
  <c r="L46" i="1" s="1"/>
  <c r="L31" i="1"/>
  <c r="L47" i="1" s="1"/>
  <c r="L32" i="1"/>
  <c r="L48" i="1" s="1"/>
  <c r="L33" i="1"/>
  <c r="L49" i="1" s="1"/>
  <c r="L34" i="1"/>
  <c r="L50" i="1" s="1"/>
  <c r="L35" i="1"/>
  <c r="L51" i="1" s="1"/>
  <c r="L36" i="1"/>
  <c r="L52" i="1" s="1"/>
  <c r="L37" i="1"/>
  <c r="L53" i="1" s="1"/>
  <c r="G58" i="2" l="1"/>
  <c r="S66" i="2" s="1"/>
  <c r="G57" i="2"/>
  <c r="G67" i="2" s="1"/>
  <c r="E57" i="2"/>
  <c r="E72" i="2" s="1"/>
  <c r="E58" i="2"/>
  <c r="D58" i="2"/>
  <c r="P71" i="2" s="1"/>
  <c r="D57" i="2"/>
  <c r="D65" i="2" s="1"/>
  <c r="I58" i="2"/>
  <c r="U71" i="2" s="1"/>
  <c r="F57" i="2"/>
  <c r="F76" i="2" s="1"/>
  <c r="F58" i="2"/>
  <c r="R70" i="2" s="1"/>
  <c r="H58" i="2"/>
  <c r="T74" i="2" s="1"/>
  <c r="H57" i="2"/>
  <c r="H69" i="2" s="1"/>
  <c r="C58" i="2"/>
  <c r="O76" i="2" s="1"/>
  <c r="C57" i="2"/>
  <c r="I57" i="2"/>
  <c r="I70" i="2" s="1"/>
  <c r="J58" i="2"/>
  <c r="V67" i="2" s="1"/>
  <c r="J57" i="2"/>
  <c r="J75" i="2" s="1"/>
  <c r="L57" i="1"/>
  <c r="L71" i="1" s="1"/>
  <c r="L58" i="1"/>
  <c r="X76" i="1" s="1"/>
  <c r="D28" i="1"/>
  <c r="D44" i="1" s="1"/>
  <c r="C33" i="1"/>
  <c r="C49" i="1" s="1"/>
  <c r="J26" i="1"/>
  <c r="J42" i="1" s="1"/>
  <c r="J27" i="1"/>
  <c r="J43" i="1" s="1"/>
  <c r="J28" i="1"/>
  <c r="J44" i="1" s="1"/>
  <c r="J29" i="1"/>
  <c r="J45" i="1" s="1"/>
  <c r="J30" i="1"/>
  <c r="J46" i="1" s="1"/>
  <c r="J31" i="1"/>
  <c r="J47" i="1" s="1"/>
  <c r="J32" i="1"/>
  <c r="J48" i="1" s="1"/>
  <c r="J33" i="1"/>
  <c r="J49" i="1" s="1"/>
  <c r="J34" i="1"/>
  <c r="J50" i="1" s="1"/>
  <c r="J35" i="1"/>
  <c r="J51" i="1" s="1"/>
  <c r="J36" i="1"/>
  <c r="J52" i="1" s="1"/>
  <c r="J37" i="1"/>
  <c r="J53" i="1" s="1"/>
  <c r="J25" i="1"/>
  <c r="J41" i="1" s="1"/>
  <c r="I25" i="1"/>
  <c r="I41" i="1" s="1"/>
  <c r="I26" i="1"/>
  <c r="I42" i="1" s="1"/>
  <c r="I27" i="1"/>
  <c r="I43" i="1" s="1"/>
  <c r="I28" i="1"/>
  <c r="I44" i="1" s="1"/>
  <c r="I29" i="1"/>
  <c r="I45" i="1" s="1"/>
  <c r="I30" i="1"/>
  <c r="I46" i="1" s="1"/>
  <c r="I31" i="1"/>
  <c r="I47" i="1" s="1"/>
  <c r="I32" i="1"/>
  <c r="I48" i="1" s="1"/>
  <c r="I33" i="1"/>
  <c r="I49" i="1" s="1"/>
  <c r="I34" i="1"/>
  <c r="I50" i="1" s="1"/>
  <c r="I35" i="1"/>
  <c r="I51" i="1" s="1"/>
  <c r="I36" i="1"/>
  <c r="I52" i="1" s="1"/>
  <c r="I37" i="1"/>
  <c r="I53" i="1" s="1"/>
  <c r="H26" i="1"/>
  <c r="H42" i="1" s="1"/>
  <c r="H27" i="1"/>
  <c r="H43" i="1" s="1"/>
  <c r="H28" i="1"/>
  <c r="H44" i="1" s="1"/>
  <c r="H29" i="1"/>
  <c r="H45" i="1" s="1"/>
  <c r="H30" i="1"/>
  <c r="H46" i="1" s="1"/>
  <c r="H31" i="1"/>
  <c r="H47" i="1" s="1"/>
  <c r="H32" i="1"/>
  <c r="H48" i="1" s="1"/>
  <c r="H33" i="1"/>
  <c r="H49" i="1" s="1"/>
  <c r="H34" i="1"/>
  <c r="H50" i="1" s="1"/>
  <c r="H35" i="1"/>
  <c r="H51" i="1" s="1"/>
  <c r="H36" i="1"/>
  <c r="H52" i="1" s="1"/>
  <c r="H37" i="1"/>
  <c r="H53" i="1" s="1"/>
  <c r="H25" i="1"/>
  <c r="H41" i="1" s="1"/>
  <c r="G26" i="1"/>
  <c r="G42" i="1" s="1"/>
  <c r="G27" i="1"/>
  <c r="G43" i="1" s="1"/>
  <c r="G28" i="1"/>
  <c r="G44" i="1" s="1"/>
  <c r="G29" i="1"/>
  <c r="G45" i="1" s="1"/>
  <c r="G30" i="1"/>
  <c r="G46" i="1" s="1"/>
  <c r="G31" i="1"/>
  <c r="G47" i="1" s="1"/>
  <c r="G32" i="1"/>
  <c r="G48" i="1" s="1"/>
  <c r="G33" i="1"/>
  <c r="G49" i="1" s="1"/>
  <c r="G34" i="1"/>
  <c r="G50" i="1" s="1"/>
  <c r="G35" i="1"/>
  <c r="G51" i="1" s="1"/>
  <c r="G36" i="1"/>
  <c r="G52" i="1" s="1"/>
  <c r="G37" i="1"/>
  <c r="G53" i="1" s="1"/>
  <c r="G25" i="1"/>
  <c r="G41" i="1" s="1"/>
  <c r="F26" i="1"/>
  <c r="F42" i="1" s="1"/>
  <c r="F27" i="1"/>
  <c r="F43" i="1" s="1"/>
  <c r="F28" i="1"/>
  <c r="F44" i="1" s="1"/>
  <c r="F29" i="1"/>
  <c r="F45" i="1" s="1"/>
  <c r="F30" i="1"/>
  <c r="F46" i="1" s="1"/>
  <c r="F31" i="1"/>
  <c r="F47" i="1" s="1"/>
  <c r="F32" i="1"/>
  <c r="F48" i="1" s="1"/>
  <c r="F33" i="1"/>
  <c r="F49" i="1" s="1"/>
  <c r="F34" i="1"/>
  <c r="F50" i="1" s="1"/>
  <c r="F35" i="1"/>
  <c r="F51" i="1" s="1"/>
  <c r="F36" i="1"/>
  <c r="F52" i="1" s="1"/>
  <c r="F37" i="1"/>
  <c r="F53" i="1" s="1"/>
  <c r="F25" i="1"/>
  <c r="F41" i="1" s="1"/>
  <c r="E26" i="1"/>
  <c r="E42" i="1" s="1"/>
  <c r="E27" i="1"/>
  <c r="E43" i="1" s="1"/>
  <c r="E28" i="1"/>
  <c r="E44" i="1" s="1"/>
  <c r="E29" i="1"/>
  <c r="E45" i="1" s="1"/>
  <c r="E30" i="1"/>
  <c r="E46" i="1" s="1"/>
  <c r="E31" i="1"/>
  <c r="E47" i="1" s="1"/>
  <c r="E32" i="1"/>
  <c r="E48" i="1" s="1"/>
  <c r="E33" i="1"/>
  <c r="E49" i="1" s="1"/>
  <c r="E34" i="1"/>
  <c r="E50" i="1" s="1"/>
  <c r="E35" i="1"/>
  <c r="E51" i="1" s="1"/>
  <c r="E36" i="1"/>
  <c r="E52" i="1" s="1"/>
  <c r="E37" i="1"/>
  <c r="E53" i="1" s="1"/>
  <c r="E25" i="1"/>
  <c r="E41" i="1" s="1"/>
  <c r="D25" i="1"/>
  <c r="D41" i="1" s="1"/>
  <c r="D26" i="1"/>
  <c r="D42" i="1" s="1"/>
  <c r="D27" i="1"/>
  <c r="D43" i="1" s="1"/>
  <c r="D29" i="1"/>
  <c r="D45" i="1" s="1"/>
  <c r="D30" i="1"/>
  <c r="D46" i="1" s="1"/>
  <c r="D31" i="1"/>
  <c r="D47" i="1" s="1"/>
  <c r="D32" i="1"/>
  <c r="D48" i="1" s="1"/>
  <c r="D33" i="1"/>
  <c r="D49" i="1" s="1"/>
  <c r="D34" i="1"/>
  <c r="D50" i="1" s="1"/>
  <c r="D35" i="1"/>
  <c r="D51" i="1" s="1"/>
  <c r="D36" i="1"/>
  <c r="D52" i="1" s="1"/>
  <c r="D37" i="1"/>
  <c r="D53" i="1" s="1"/>
  <c r="C26" i="1"/>
  <c r="C42" i="1" s="1"/>
  <c r="C27" i="1"/>
  <c r="C43" i="1" s="1"/>
  <c r="C28" i="1"/>
  <c r="C44" i="1" s="1"/>
  <c r="C29" i="1"/>
  <c r="C45" i="1" s="1"/>
  <c r="C30" i="1"/>
  <c r="C46" i="1" s="1"/>
  <c r="C31" i="1"/>
  <c r="C47" i="1" s="1"/>
  <c r="C32" i="1"/>
  <c r="C48" i="1" s="1"/>
  <c r="C34" i="1"/>
  <c r="C50" i="1" s="1"/>
  <c r="C35" i="1"/>
  <c r="C51" i="1" s="1"/>
  <c r="C36" i="1"/>
  <c r="C52" i="1" s="1"/>
  <c r="C37" i="1"/>
  <c r="C53" i="1" s="1"/>
  <c r="C25" i="1"/>
  <c r="C41" i="1" s="1"/>
  <c r="K5" i="1"/>
  <c r="K31" i="1" s="1"/>
  <c r="K47" i="1" s="1"/>
  <c r="L68" i="1" l="1"/>
  <c r="L69" i="1"/>
  <c r="L70" i="1"/>
  <c r="L75" i="1"/>
  <c r="L67" i="1"/>
  <c r="X71" i="1"/>
  <c r="L65" i="1"/>
  <c r="L76" i="1"/>
  <c r="G75" i="2"/>
  <c r="G72" i="2"/>
  <c r="G73" i="2"/>
  <c r="S73" i="2"/>
  <c r="S67" i="2"/>
  <c r="S75" i="2"/>
  <c r="S69" i="2"/>
  <c r="S72" i="2"/>
  <c r="S76" i="2"/>
  <c r="S74" i="2"/>
  <c r="G71" i="2"/>
  <c r="S65" i="2"/>
  <c r="S71" i="2"/>
  <c r="S70" i="2"/>
  <c r="S68" i="2"/>
  <c r="P67" i="2"/>
  <c r="P68" i="2"/>
  <c r="E65" i="2"/>
  <c r="P66" i="2"/>
  <c r="P75" i="2"/>
  <c r="Q74" i="2"/>
  <c r="Q68" i="2"/>
  <c r="Q65" i="2"/>
  <c r="Q76" i="2"/>
  <c r="D67" i="2"/>
  <c r="D68" i="2"/>
  <c r="D74" i="2"/>
  <c r="F68" i="2"/>
  <c r="F73" i="2"/>
  <c r="O70" i="2"/>
  <c r="O73" i="2"/>
  <c r="O68" i="2"/>
  <c r="T70" i="2"/>
  <c r="O74" i="2"/>
  <c r="J66" i="2"/>
  <c r="R66" i="2"/>
  <c r="Q73" i="2"/>
  <c r="F75" i="2"/>
  <c r="Q67" i="2"/>
  <c r="D76" i="2"/>
  <c r="D73" i="2"/>
  <c r="P76" i="2"/>
  <c r="P69" i="2"/>
  <c r="R75" i="2"/>
  <c r="V72" i="2"/>
  <c r="V66" i="2"/>
  <c r="F66" i="2"/>
  <c r="O69" i="2"/>
  <c r="R73" i="2"/>
  <c r="Q72" i="2"/>
  <c r="O66" i="2"/>
  <c r="D70" i="2"/>
  <c r="E70" i="2"/>
  <c r="P65" i="2"/>
  <c r="F74" i="2"/>
  <c r="F70" i="2"/>
  <c r="F69" i="2"/>
  <c r="F72" i="2"/>
  <c r="T65" i="2"/>
  <c r="T67" i="2"/>
  <c r="T66" i="2"/>
  <c r="E66" i="2"/>
  <c r="T71" i="2"/>
  <c r="E74" i="2"/>
  <c r="G68" i="2"/>
  <c r="H65" i="2"/>
  <c r="E69" i="2"/>
  <c r="G76" i="2"/>
  <c r="U66" i="2"/>
  <c r="U76" i="2"/>
  <c r="U70" i="2"/>
  <c r="H68" i="2"/>
  <c r="G69" i="2"/>
  <c r="U65" i="2"/>
  <c r="I65" i="2"/>
  <c r="T72" i="2"/>
  <c r="G66" i="2"/>
  <c r="T76" i="2"/>
  <c r="G74" i="2"/>
  <c r="I72" i="2"/>
  <c r="U74" i="2"/>
  <c r="G70" i="2"/>
  <c r="G65" i="2"/>
  <c r="H71" i="2"/>
  <c r="H73" i="2"/>
  <c r="T73" i="2"/>
  <c r="U75" i="2"/>
  <c r="I66" i="2"/>
  <c r="C68" i="2"/>
  <c r="C71" i="2"/>
  <c r="C75" i="2"/>
  <c r="C74" i="2"/>
  <c r="I73" i="2"/>
  <c r="O71" i="2"/>
  <c r="H67" i="2"/>
  <c r="U67" i="2"/>
  <c r="H74" i="2"/>
  <c r="J69" i="2"/>
  <c r="U69" i="2"/>
  <c r="V74" i="2"/>
  <c r="H70" i="2"/>
  <c r="H72" i="2"/>
  <c r="C67" i="2"/>
  <c r="V73" i="2"/>
  <c r="V65" i="2"/>
  <c r="V71" i="2"/>
  <c r="J70" i="2"/>
  <c r="I69" i="2"/>
  <c r="I71" i="2"/>
  <c r="H75" i="2"/>
  <c r="J67" i="2"/>
  <c r="C72" i="2"/>
  <c r="U72" i="2"/>
  <c r="U73" i="2"/>
  <c r="I76" i="2"/>
  <c r="V68" i="2"/>
  <c r="U68" i="2"/>
  <c r="J65" i="2"/>
  <c r="V76" i="2"/>
  <c r="R68" i="2"/>
  <c r="H66" i="2"/>
  <c r="R69" i="2"/>
  <c r="P73" i="2"/>
  <c r="P74" i="2"/>
  <c r="V70" i="2"/>
  <c r="J74" i="2"/>
  <c r="R74" i="2"/>
  <c r="C70" i="2"/>
  <c r="O75" i="2"/>
  <c r="H76" i="2"/>
  <c r="T68" i="2"/>
  <c r="T75" i="2"/>
  <c r="D66" i="2"/>
  <c r="O72" i="2"/>
  <c r="I67" i="2"/>
  <c r="Q71" i="2"/>
  <c r="Q66" i="2"/>
  <c r="Q70" i="2"/>
  <c r="Q75" i="2"/>
  <c r="C66" i="2"/>
  <c r="V75" i="2"/>
  <c r="I74" i="2"/>
  <c r="C76" i="2"/>
  <c r="E75" i="2"/>
  <c r="E73" i="2"/>
  <c r="E67" i="2"/>
  <c r="J73" i="2"/>
  <c r="T69" i="2"/>
  <c r="R67" i="2"/>
  <c r="E68" i="2"/>
  <c r="I75" i="2"/>
  <c r="J72" i="2"/>
  <c r="C69" i="2"/>
  <c r="E71" i="2"/>
  <c r="R65" i="2"/>
  <c r="D72" i="2"/>
  <c r="C73" i="2"/>
  <c r="E76" i="2"/>
  <c r="P70" i="2"/>
  <c r="J76" i="2"/>
  <c r="J68" i="2"/>
  <c r="C65" i="2"/>
  <c r="J71" i="2"/>
  <c r="R71" i="2"/>
  <c r="O67" i="2"/>
  <c r="O65" i="2"/>
  <c r="R72" i="2"/>
  <c r="V69" i="2"/>
  <c r="F67" i="2"/>
  <c r="F71" i="2"/>
  <c r="F65" i="2"/>
  <c r="P72" i="2"/>
  <c r="R76" i="2"/>
  <c r="I68" i="2"/>
  <c r="D71" i="2"/>
  <c r="D75" i="2"/>
  <c r="D69" i="2"/>
  <c r="Q69" i="2"/>
  <c r="X66" i="1"/>
  <c r="X74" i="1"/>
  <c r="X67" i="1"/>
  <c r="X75" i="1"/>
  <c r="X72" i="1"/>
  <c r="L66" i="1"/>
  <c r="L74" i="1"/>
  <c r="X70" i="1"/>
  <c r="X69" i="1"/>
  <c r="X65" i="1"/>
  <c r="L72" i="1"/>
  <c r="L77" i="1"/>
  <c r="L73" i="1"/>
  <c r="X68" i="1"/>
  <c r="X77" i="1"/>
  <c r="X73" i="1"/>
  <c r="F57" i="1"/>
  <c r="F75" i="1" s="1"/>
  <c r="F58" i="1"/>
  <c r="R70" i="1" s="1"/>
  <c r="E58" i="1"/>
  <c r="Q68" i="1" s="1"/>
  <c r="E57" i="1"/>
  <c r="E71" i="1" s="1"/>
  <c r="I58" i="1"/>
  <c r="U76" i="1" s="1"/>
  <c r="I57" i="1"/>
  <c r="I67" i="1" s="1"/>
  <c r="J57" i="1"/>
  <c r="J68" i="1" s="1"/>
  <c r="J58" i="1"/>
  <c r="V69" i="1" s="1"/>
  <c r="G57" i="1"/>
  <c r="G66" i="1" s="1"/>
  <c r="G58" i="1"/>
  <c r="S65" i="1" s="1"/>
  <c r="D58" i="1"/>
  <c r="P66" i="1" s="1"/>
  <c r="D57" i="1"/>
  <c r="D67" i="1" s="1"/>
  <c r="H57" i="1"/>
  <c r="H68" i="1" s="1"/>
  <c r="H58" i="1"/>
  <c r="T69" i="1" s="1"/>
  <c r="C57" i="1"/>
  <c r="C68" i="1" s="1"/>
  <c r="C58" i="1"/>
  <c r="O76" i="1" s="1"/>
  <c r="K26" i="1"/>
  <c r="K42" i="1" s="1"/>
  <c r="K29" i="1"/>
  <c r="K45" i="1" s="1"/>
  <c r="K28" i="1"/>
  <c r="K44" i="1" s="1"/>
  <c r="K27" i="1"/>
  <c r="K43" i="1" s="1"/>
  <c r="K34" i="1"/>
  <c r="K50" i="1" s="1"/>
  <c r="K33" i="1"/>
  <c r="K49" i="1" s="1"/>
  <c r="K37" i="1"/>
  <c r="K53" i="1" s="1"/>
  <c r="K30" i="1"/>
  <c r="K46" i="1" s="1"/>
  <c r="K36" i="1"/>
  <c r="K52" i="1" s="1"/>
  <c r="K35" i="1"/>
  <c r="K51" i="1" s="1"/>
  <c r="K32" i="1"/>
  <c r="K48" i="1" s="1"/>
  <c r="K25" i="1"/>
  <c r="K41" i="1" s="1"/>
  <c r="D84" i="2" l="1"/>
  <c r="E88" i="2"/>
  <c r="D86" i="2"/>
  <c r="D95" i="2"/>
  <c r="D88" i="2"/>
  <c r="D87" i="2"/>
  <c r="E84" i="2"/>
  <c r="D90" i="2"/>
  <c r="E87" i="2"/>
  <c r="E95" i="2"/>
  <c r="E91" i="2"/>
  <c r="E86" i="2"/>
  <c r="E94" i="2"/>
  <c r="E89" i="2"/>
  <c r="E92" i="2"/>
  <c r="E93" i="2"/>
  <c r="E85" i="2"/>
  <c r="D92" i="2"/>
  <c r="D89" i="2"/>
  <c r="D93" i="2"/>
  <c r="D94" i="2"/>
  <c r="D85" i="2"/>
  <c r="D91" i="2"/>
  <c r="E90" i="2"/>
  <c r="K58" i="1"/>
  <c r="W71" i="1" s="1"/>
  <c r="K57" i="1"/>
  <c r="K71" i="1" s="1"/>
  <c r="V76" i="1"/>
  <c r="C73" i="1"/>
  <c r="R77" i="1"/>
  <c r="V70" i="1"/>
  <c r="U67" i="1"/>
  <c r="O69" i="1"/>
  <c r="C65" i="1"/>
  <c r="U71" i="1"/>
  <c r="G70" i="1"/>
  <c r="P71" i="1"/>
  <c r="O72" i="1"/>
  <c r="P70" i="1"/>
  <c r="Q66" i="1"/>
  <c r="J70" i="1"/>
  <c r="D66" i="1"/>
  <c r="Q74" i="1"/>
  <c r="J76" i="1"/>
  <c r="I66" i="1"/>
  <c r="S70" i="1"/>
  <c r="J65" i="1"/>
  <c r="G74" i="1"/>
  <c r="V67" i="1"/>
  <c r="C74" i="1"/>
  <c r="I70" i="1"/>
  <c r="U66" i="1"/>
  <c r="E76" i="1"/>
  <c r="T76" i="1"/>
  <c r="E75" i="1"/>
  <c r="O74" i="1"/>
  <c r="E69" i="1"/>
  <c r="I74" i="1"/>
  <c r="S69" i="1"/>
  <c r="V71" i="1"/>
  <c r="I69" i="1"/>
  <c r="E72" i="1"/>
  <c r="G77" i="1"/>
  <c r="V77" i="1"/>
  <c r="V72" i="1"/>
  <c r="O77" i="1"/>
  <c r="R75" i="1"/>
  <c r="V66" i="1"/>
  <c r="E66" i="1"/>
  <c r="S74" i="1"/>
  <c r="J67" i="1"/>
  <c r="G69" i="1"/>
  <c r="Q76" i="1"/>
  <c r="J71" i="1"/>
  <c r="V75" i="1"/>
  <c r="Q69" i="1"/>
  <c r="J66" i="1"/>
  <c r="G68" i="1"/>
  <c r="Q72" i="1"/>
  <c r="Q75" i="1"/>
  <c r="J77" i="1"/>
  <c r="J72" i="1"/>
  <c r="Q70" i="1"/>
  <c r="C72" i="1"/>
  <c r="H73" i="1"/>
  <c r="H69" i="1"/>
  <c r="H72" i="1"/>
  <c r="H76" i="1"/>
  <c r="E77" i="1"/>
  <c r="H77" i="1"/>
  <c r="E70" i="1"/>
  <c r="R69" i="1"/>
  <c r="J74" i="1"/>
  <c r="G67" i="1"/>
  <c r="Q73" i="1"/>
  <c r="H70" i="1"/>
  <c r="I75" i="1"/>
  <c r="S71" i="1"/>
  <c r="J75" i="1"/>
  <c r="S68" i="1"/>
  <c r="E74" i="1"/>
  <c r="U74" i="1"/>
  <c r="O73" i="1"/>
  <c r="U70" i="1"/>
  <c r="S77" i="1"/>
  <c r="D70" i="1"/>
  <c r="F68" i="1"/>
  <c r="I71" i="1"/>
  <c r="G65" i="1"/>
  <c r="D71" i="1"/>
  <c r="T71" i="1"/>
  <c r="V65" i="1"/>
  <c r="G71" i="1"/>
  <c r="Q77" i="1"/>
  <c r="S73" i="1"/>
  <c r="P75" i="1"/>
  <c r="U65" i="1"/>
  <c r="S72" i="1"/>
  <c r="Q65" i="1"/>
  <c r="O65" i="1"/>
  <c r="F69" i="1"/>
  <c r="V74" i="1"/>
  <c r="S67" i="1"/>
  <c r="E73" i="1"/>
  <c r="T70" i="1"/>
  <c r="U75" i="1"/>
  <c r="R68" i="1"/>
  <c r="D68" i="1"/>
  <c r="U69" i="1"/>
  <c r="G76" i="1"/>
  <c r="D69" i="1"/>
  <c r="R76" i="1"/>
  <c r="H66" i="1"/>
  <c r="F72" i="1"/>
  <c r="C66" i="1"/>
  <c r="C70" i="1"/>
  <c r="T67" i="1"/>
  <c r="F73" i="1"/>
  <c r="C67" i="1"/>
  <c r="U72" i="1"/>
  <c r="F66" i="1"/>
  <c r="D72" i="1"/>
  <c r="G73" i="1"/>
  <c r="D75" i="1"/>
  <c r="I65" i="1"/>
  <c r="G72" i="1"/>
  <c r="E65" i="1"/>
  <c r="C71" i="1"/>
  <c r="I68" i="1"/>
  <c r="G75" i="1"/>
  <c r="P67" i="1"/>
  <c r="H65" i="1"/>
  <c r="S66" i="1"/>
  <c r="T73" i="1"/>
  <c r="F77" i="1"/>
  <c r="P68" i="1"/>
  <c r="S76" i="1"/>
  <c r="P69" i="1"/>
  <c r="F76" i="1"/>
  <c r="T66" i="1"/>
  <c r="R72" i="1"/>
  <c r="O66" i="1"/>
  <c r="O70" i="1"/>
  <c r="H67" i="1"/>
  <c r="R73" i="1"/>
  <c r="O67" i="1"/>
  <c r="I72" i="1"/>
  <c r="R66" i="1"/>
  <c r="P72" i="1"/>
  <c r="D74" i="1"/>
  <c r="U73" i="1"/>
  <c r="F67" i="1"/>
  <c r="D73" i="1"/>
  <c r="O71" i="1"/>
  <c r="U68" i="1"/>
  <c r="S75" i="1"/>
  <c r="T65" i="1"/>
  <c r="F65" i="1"/>
  <c r="T77" i="1"/>
  <c r="T72" i="1"/>
  <c r="H71" i="1"/>
  <c r="U77" i="1"/>
  <c r="F71" i="1"/>
  <c r="D77" i="1"/>
  <c r="V68" i="1"/>
  <c r="H74" i="1"/>
  <c r="Q67" i="1"/>
  <c r="C75" i="1"/>
  <c r="J73" i="1"/>
  <c r="J69" i="1"/>
  <c r="T75" i="1"/>
  <c r="E68" i="1"/>
  <c r="C76" i="1"/>
  <c r="T68" i="1"/>
  <c r="F74" i="1"/>
  <c r="O68" i="1"/>
  <c r="P74" i="1"/>
  <c r="I73" i="1"/>
  <c r="R67" i="1"/>
  <c r="P73" i="1"/>
  <c r="D65" i="1"/>
  <c r="I76" i="1"/>
  <c r="F70" i="1"/>
  <c r="D76" i="1"/>
  <c r="Q71" i="1"/>
  <c r="R65" i="1"/>
  <c r="I77" i="1"/>
  <c r="R71" i="1"/>
  <c r="P77" i="1"/>
  <c r="T74" i="1"/>
  <c r="E67" i="1"/>
  <c r="O75" i="1"/>
  <c r="V73" i="1"/>
  <c r="H75" i="1"/>
  <c r="R74" i="1"/>
  <c r="C77" i="1"/>
  <c r="C69" i="1"/>
  <c r="P65" i="1"/>
  <c r="P76" i="1"/>
  <c r="H88" i="2" l="1"/>
  <c r="H84" i="2"/>
  <c r="H93" i="2"/>
  <c r="H86" i="2"/>
  <c r="H94" i="2"/>
  <c r="H85" i="2"/>
  <c r="H95" i="2"/>
  <c r="H91" i="2"/>
  <c r="H90" i="2"/>
  <c r="H92" i="2"/>
  <c r="H87" i="2"/>
  <c r="H89" i="2"/>
  <c r="K75" i="1"/>
  <c r="D94" i="1" s="1"/>
  <c r="W74" i="1"/>
  <c r="K68" i="1"/>
  <c r="D87" i="1" s="1"/>
  <c r="K74" i="1"/>
  <c r="D93" i="1" s="1"/>
  <c r="W76" i="1"/>
  <c r="W77" i="1"/>
  <c r="E90" i="1"/>
  <c r="K66" i="1"/>
  <c r="D85" i="1" s="1"/>
  <c r="K69" i="1"/>
  <c r="D88" i="1" s="1"/>
  <c r="W73" i="1"/>
  <c r="E92" i="1" s="1"/>
  <c r="W67" i="1"/>
  <c r="E86" i="1" s="1"/>
  <c r="W66" i="1"/>
  <c r="E85" i="1" s="1"/>
  <c r="W69" i="1"/>
  <c r="E88" i="1" s="1"/>
  <c r="K67" i="1"/>
  <c r="D86" i="1" s="1"/>
  <c r="W72" i="1"/>
  <c r="E91" i="1" s="1"/>
  <c r="D90" i="1"/>
  <c r="K70" i="1"/>
  <c r="D89" i="1" s="1"/>
  <c r="K72" i="1"/>
  <c r="D91" i="1" s="1"/>
  <c r="K73" i="1"/>
  <c r="D92" i="1" s="1"/>
  <c r="K65" i="1"/>
  <c r="D84" i="1" s="1"/>
  <c r="W65" i="1"/>
  <c r="E84" i="1" s="1"/>
  <c r="W75" i="1"/>
  <c r="K77" i="1"/>
  <c r="D96" i="1" s="1"/>
  <c r="W68" i="1"/>
  <c r="E87" i="1" s="1"/>
  <c r="W70" i="1"/>
  <c r="E89" i="1" s="1"/>
  <c r="K76" i="1"/>
  <c r="D95" i="1" s="1"/>
  <c r="L84" i="2" l="1"/>
  <c r="L85" i="2"/>
  <c r="L86" i="2"/>
  <c r="L91" i="2"/>
  <c r="L89" i="2"/>
  <c r="L92" i="2"/>
  <c r="L95" i="2"/>
  <c r="L88" i="2"/>
  <c r="L87" i="2"/>
  <c r="L94" i="2"/>
  <c r="L93" i="2"/>
  <c r="L90" i="2"/>
  <c r="H92" i="1"/>
  <c r="H90" i="1"/>
  <c r="H85" i="1"/>
  <c r="H86" i="1"/>
  <c r="H84" i="1"/>
  <c r="H87" i="1"/>
  <c r="H91" i="1"/>
  <c r="H89" i="1"/>
  <c r="H88" i="1"/>
  <c r="E94" i="1"/>
  <c r="H94" i="1" s="1"/>
  <c r="E96" i="1"/>
  <c r="H96" i="1" s="1"/>
  <c r="E95" i="1"/>
  <c r="H95" i="1" s="1"/>
  <c r="E93" i="1"/>
  <c r="H93" i="1" s="1"/>
  <c r="L96" i="1" l="1"/>
  <c r="L95" i="1"/>
  <c r="L94" i="1"/>
  <c r="L91" i="1"/>
  <c r="L93" i="1"/>
  <c r="L89" i="1"/>
  <c r="L90" i="1"/>
  <c r="L85" i="1"/>
  <c r="L87" i="1"/>
  <c r="L86" i="1"/>
  <c r="L92" i="1"/>
  <c r="L88" i="1"/>
  <c r="L84" i="1"/>
</calcChain>
</file>

<file path=xl/sharedStrings.xml><?xml version="1.0" encoding="utf-8"?>
<sst xmlns="http://schemas.openxmlformats.org/spreadsheetml/2006/main" count="342" uniqueCount="52">
  <si>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</si>
  <si>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</si>
  <si>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</si>
  <si>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</si>
  <si>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</si>
  <si>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</si>
  <si>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</si>
  <si>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</si>
  <si>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</si>
  <si>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</si>
  <si>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Alcatel</t>
  </si>
  <si>
    <t>Anel</t>
  </si>
  <si>
    <t>Arena</t>
  </si>
  <si>
    <t>Armada</t>
  </si>
  <si>
    <t>Aselan</t>
  </si>
  <si>
    <t>Inkdeks</t>
  </si>
  <si>
    <t>Datagate</t>
  </si>
  <si>
    <t>Escort</t>
  </si>
  <si>
    <t>Karel</t>
  </si>
  <si>
    <t>Klink</t>
  </si>
  <si>
    <t>Logo</t>
  </si>
  <si>
    <t>Netas</t>
  </si>
  <si>
    <t>Plastik K.</t>
  </si>
  <si>
    <t>جدول یک- ماتریس اولیه داده ها</t>
  </si>
  <si>
    <t>جدول دو- ماتریس نرمالایز شده</t>
  </si>
  <si>
    <t>جدول سه- ماتریس نرمال شده وزنی</t>
  </si>
  <si>
    <t>( A+ )</t>
  </si>
  <si>
    <t>( A- )</t>
  </si>
  <si>
    <t>S+</t>
  </si>
  <si>
    <t>S-</t>
  </si>
  <si>
    <t xml:space="preserve">جدول پنج- محاسبه فاصله اقلیدسی + </t>
  </si>
  <si>
    <t>جدول چهار- محاسبه بهترین و بدترین مقادیر هر شاخص</t>
  </si>
  <si>
    <t>weights</t>
  </si>
  <si>
    <t>Ci</t>
  </si>
  <si>
    <t>گام شش-محاسبه جداکننده ها</t>
  </si>
  <si>
    <t xml:space="preserve">جدول پنج- محاسبه فاصله اقلیدسی - </t>
  </si>
  <si>
    <t>جدول هشت- رتبه بندی گزینه ها</t>
  </si>
  <si>
    <t>جدول هفت- محاسبه اندازه نزدیکی نسبی</t>
  </si>
  <si>
    <t>Type</t>
  </si>
  <si>
    <t xml:space="preserve">شپنا </t>
  </si>
  <si>
    <t>شبندر</t>
  </si>
  <si>
    <t>شنفت</t>
  </si>
  <si>
    <t>شتران</t>
  </si>
  <si>
    <t>شبریز</t>
  </si>
  <si>
    <t>شسپا</t>
  </si>
  <si>
    <t>شبهرن</t>
  </si>
  <si>
    <t>شاوان</t>
  </si>
  <si>
    <t>شراز</t>
  </si>
  <si>
    <t>شرانل</t>
  </si>
  <si>
    <t>شپاس</t>
  </si>
  <si>
    <t>شزنگ</t>
  </si>
  <si>
    <t>جدول دو- ماتریس نرمالایز شده به روش اقلیدسی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</si>
</sst>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8" tint="0.399975585192419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29">
    <xf numFmtId="0" fontId="0" fillId="0" borderId="0" xfId="0"/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  <xf numFmtId="0" fontId="0" fillId="6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0" borderId="0" xfId="0" applyNumberFormat="1"/>
    <xf numFmtId="0" fontId="0" fillId="2" borderId="2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left"/>
    </xf>
    <xf numFmtId="0" fontId="0" fillId="4" borderId="1" xfId="0" applyNumberFormat="1" applyFill="1" applyBorder="1" applyAlignment="1">
      <alignment horizontal="left" vertical="center"/>
    </xf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right" vertical="center"/>
    </xf>
    <xf numFmtId="0" fontId="0" fillId="0" borderId="3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0" fontId="0" fillId="5" borderId="1" xfId="0" applyNumberFormat="1" applyFont="1" applyFill="1" applyBorder="1" applyAlignment="1">
      <alignment horizontal="center" vertical="center"/>
    </xf>
    <xf numFmtId="10" fontId="0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/>
    <xf numFmtId="0" fontId="3" fillId="0" borderId="1" xfId="0" applyFont="1" applyBorder="1"/>
    <xf numFmtId="10" fontId="3" fillId="7" borderId="1" xfId="0" applyNumberFormat="1" applyFont="1" applyFill="1" applyBorder="1" applyAlignment="1">
      <alignment horizontal="right" vertical="top"/>
    </xf>
    <xf numFmtId="10" fontId="3" fillId="0" borderId="1" xfId="0" applyNumberFormat="1" applyFont="1" applyFill="1" applyBorder="1" applyAlignment="1">
      <alignment horizontal="right" vertical="top"/>
    </xf>
    <xf numFmtId="0" fontId="0" fillId="0" borderId="1" xfId="0" applyNumberFormat="1" applyFont="1" applyBorder="1" applyAlignment="1">
      <alignment horizontal="right"/>
    </xf>
    <xf numFmtId="0" fontId="1" fillId="8" borderId="4" xfId="1" applyNumberFormat="1" applyFill="1" applyBorder="1" applyAlignment="1">
      <alignment horizontal="center" vertical="center"/>
    </xf>
    <xf numFmtId="0" fontId="4" fillId="9" borderId="0" xfId="0" applyFont="1" applyFill="1"/>
    <xf numFmtId="0" fontId="0" fillId="9" borderId="0" xfId="0" applyNumberFormat="1" applyFill="1" applyAlignment="1">
      <alignment horizontal="center" vertical="center"/>
    </xf>
    <xf numFmtId="0" fontId="1" fillId="9" borderId="0" xfId="1" applyNumberFormat="1" applyFill="1" applyAlignment="1">
      <alignment horizontal="center" vertical="center"/>
    </xf>
    <xf numFmtId="0" fontId="0" fillId="8" borderId="0" xfId="0" applyNumberFormat="1" applyFill="1" applyAlignment="1">
      <alignment horizontal="center" vertical="center"/>
    </xf>
    <xf numFmtId="0" fontId="1" fillId="8" borderId="0" xfId="1" applyNumberFormat="1" applyFill="1" applyAlignment="1">
      <alignment horizontal="center" vertical="center"/>
    </xf>
    <xf numFmtId="0" fontId="0" fillId="9" borderId="0" xfId="0" applyFill="1"/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419862</xdr:colOff>
      <xdr:row>15</xdr:row>
      <xdr:rowOff>29845</xdr:rowOff>
    </xdr:from>
    <xdr:ext cx="527113" cy="17367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9C6E751-D7A2-79B7-8A1D-23893933262B}"/>
                </a:ext>
              </a:extLst>
            </xdr:cNvPr>
            <xdr:cNvSpPr txBox="1"/>
          </xdr:nvSpPr>
          <xdr:spPr>
            <a:xfrm>
              <a:off x="6372987" y="2744470"/>
              <a:ext cx="527113" cy="1736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9C6E751-D7A2-79B7-8A1D-23893933262B}"/>
                </a:ext>
              </a:extLst>
            </xdr:cNvPr>
            <xdr:cNvSpPr txBox="1"/>
          </xdr:nvSpPr>
          <xdr:spPr>
            <a:xfrm>
              <a:off x="6372987" y="2744470"/>
              <a:ext cx="527113" cy="1736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𝐴=</a:t>
              </a:r>
              <a:r>
                <a:rPr lang="el-GR" sz="1100" i="0">
                  <a:latin typeface="Cambria Math" panose="02040503050406030204" pitchFamily="18" charset="0"/>
                </a:rPr>
                <a:t>𝜋</a:t>
              </a:r>
              <a:r>
                <a:rPr lang="en-US" sz="1100" i="0">
                  <a:latin typeface="Cambria Math" panose="02040503050406030204" pitchFamily="18" charset="0"/>
                </a:rPr>
                <a:t>𝑟^2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40481</xdr:colOff>
      <xdr:row>20</xdr:row>
      <xdr:rowOff>35717</xdr:rowOff>
    </xdr:from>
    <xdr:ext cx="931986" cy="50526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7994BEE-68A3-97BC-1B70-4DBD8B35981F}"/>
                </a:ext>
              </a:extLst>
            </xdr:cNvPr>
            <xdr:cNvSpPr txBox="1"/>
          </xdr:nvSpPr>
          <xdr:spPr>
            <a:xfrm>
              <a:off x="3955256" y="3655217"/>
              <a:ext cx="931986" cy="505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effectLst/>
                            <a:latin typeface="Cambria Math" panose="02040503050406030204" pitchFamily="18" charset="0"/>
                            <a:cs typeface="B Nazanin" panose="00000400000000000000" pitchFamily="2" charset="-78"/>
                          </a:rPr>
                        </m:ctrlPr>
                      </m:sSubPr>
                      <m:e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B Nazanin" panose="00000400000000000000" pitchFamily="2" charset="-78"/>
                          </a:rPr>
                          <m:t>𝑟</m:t>
                        </m:r>
                      </m:e>
                      <m:sub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B Nazanin" panose="00000400000000000000" pitchFamily="2" charset="-78"/>
                          </a:rPr>
                          <m:t>𝑖𝑗</m:t>
                        </m:r>
                      </m:sub>
                    </m:sSub>
                    <m:r>
                      <a:rPr lang="en-US" sz="1100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B Nazanin" panose="00000400000000000000" pitchFamily="2" charset="-78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effectLst/>
                            <a:latin typeface="Cambria Math" panose="02040503050406030204" pitchFamily="18" charset="0"/>
                            <a:cs typeface="B Nazanin" panose="00000400000000000000" pitchFamily="2" charset="-78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i="1">
                                <a:effectLst/>
                                <a:latin typeface="Cambria Math" panose="02040503050406030204" pitchFamily="18" charset="0"/>
                                <a:cs typeface="B Nazanin" panose="00000400000000000000" pitchFamily="2" charset="-78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B Nazanin" panose="00000400000000000000" pitchFamily="2" charset="-78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B Nazanin" panose="00000400000000000000" pitchFamily="2" charset="-78"/>
                              </a:rPr>
                              <m:t>𝑖𝑗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n-US" sz="1100" i="1">
                                <a:effectLst/>
                                <a:latin typeface="Cambria Math" panose="02040503050406030204" pitchFamily="18" charset="0"/>
                                <a:cs typeface="B Nazanin" panose="00000400000000000000" pitchFamily="2" charset="-78"/>
                              </a:rPr>
                            </m:ctrlPr>
                          </m:radPr>
                          <m:deg/>
                          <m:e>
                            <m:nary>
                              <m:naryPr>
                                <m:chr m:val="∑"/>
                                <m:limLoc m:val="subSup"/>
                                <m:ctrlPr>
                                  <a:rPr lang="en-US" sz="1100" i="1">
                                    <a:effectLst/>
                                    <a:latin typeface="Cambria Math" panose="02040503050406030204" pitchFamily="18" charset="0"/>
                                    <a:cs typeface="B Nazanin" panose="00000400000000000000" pitchFamily="2" charset="-78"/>
                                  </a:rPr>
                                </m:ctrlPr>
                              </m:naryPr>
                              <m:sub>
                                <m:r>
                                  <a:rPr lang="en-US" sz="1100" i="1">
                                    <a:effectLst/>
                                    <a:latin typeface="Cambria Math" panose="02040503050406030204" pitchFamily="18" charset="0"/>
                                    <a:ea typeface="Calibri" panose="020F0502020204030204" pitchFamily="34" charset="0"/>
                                    <a:cs typeface="B Nazanin" panose="00000400000000000000" pitchFamily="2" charset="-78"/>
                                  </a:rPr>
                                  <m:t>𝑖</m:t>
                                </m:r>
                                <m:r>
                                  <a:rPr lang="en-US" sz="1100" i="1">
                                    <a:effectLst/>
                                    <a:latin typeface="Cambria Math" panose="02040503050406030204" pitchFamily="18" charset="0"/>
                                    <a:ea typeface="Calibri" panose="020F0502020204030204" pitchFamily="34" charset="0"/>
                                    <a:cs typeface="B Nazanin" panose="00000400000000000000" pitchFamily="2" charset="-78"/>
                                  </a:rPr>
                                  <m:t>=1</m:t>
                                </m:r>
                              </m:sub>
                              <m:sup>
                                <m:r>
                                  <a:rPr lang="en-US" sz="1100" i="1">
                                    <a:effectLst/>
                                    <a:latin typeface="Cambria Math" panose="02040503050406030204" pitchFamily="18" charset="0"/>
                                    <a:ea typeface="Calibri" panose="020F0502020204030204" pitchFamily="34" charset="0"/>
                                    <a:cs typeface="B Nazanin" panose="00000400000000000000" pitchFamily="2" charset="-78"/>
                                  </a:rPr>
                                  <m:t>𝑚</m:t>
                                </m:r>
                              </m:sup>
                              <m:e>
                                <m:sSubSup>
                                  <m:sSubSupPr>
                                    <m:ctrlPr>
                                      <a:rPr lang="en-US" sz="1100" i="1">
                                        <a:effectLst/>
                                        <a:latin typeface="Cambria Math" panose="02040503050406030204" pitchFamily="18" charset="0"/>
                                        <a:cs typeface="B Nazanin" panose="00000400000000000000" pitchFamily="2" charset="-78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100" i="1">
                                        <a:effectLst/>
                                        <a:latin typeface="Cambria Math" panose="02040503050406030204" pitchFamily="18" charset="0"/>
                                        <a:ea typeface="Calibri" panose="020F0502020204030204" pitchFamily="34" charset="0"/>
                                        <a:cs typeface="B Nazanin" panose="00000400000000000000" pitchFamily="2" charset="-78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n-US" sz="1100" i="1">
                                        <a:effectLst/>
                                        <a:latin typeface="Cambria Math" panose="02040503050406030204" pitchFamily="18" charset="0"/>
                                        <a:ea typeface="Calibri" panose="020F0502020204030204" pitchFamily="34" charset="0"/>
                                        <a:cs typeface="B Nazanin" panose="00000400000000000000" pitchFamily="2" charset="-78"/>
                                      </a:rPr>
                                      <m:t>𝑖𝑗</m:t>
                                    </m:r>
                                  </m:sub>
                                  <m:sup>
                                    <m:r>
                                      <a:rPr lang="en-US" sz="1100" i="1">
                                        <a:effectLst/>
                                        <a:latin typeface="Cambria Math" panose="02040503050406030204" pitchFamily="18" charset="0"/>
                                        <a:ea typeface="Calibri" panose="020F0502020204030204" pitchFamily="34" charset="0"/>
                                        <a:cs typeface="B Nazanin" panose="00000400000000000000" pitchFamily="2" charset="-78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nary>
                          </m:e>
                        </m:rad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7994BEE-68A3-97BC-1B70-4DBD8B35981F}"/>
                </a:ext>
              </a:extLst>
            </xdr:cNvPr>
            <xdr:cNvSpPr txBox="1"/>
          </xdr:nvSpPr>
          <xdr:spPr>
            <a:xfrm>
              <a:off x="3955256" y="3655217"/>
              <a:ext cx="931986" cy="505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B Nazanin" panose="00000400000000000000" pitchFamily="2" charset="-78"/>
                </a:rPr>
                <a:t>𝑟_𝑖𝑗=𝑥_𝑖𝑗/√(∑2_(𝑖=1)^𝑚▒𝑥_𝑖𝑗^2 )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57151</xdr:colOff>
      <xdr:row>79</xdr:row>
      <xdr:rowOff>1</xdr:rowOff>
    </xdr:from>
    <xdr:ext cx="1816109" cy="50013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4BC6555-8961-4EB1-E381-DADD2F6FDC29}"/>
                </a:ext>
              </a:extLst>
            </xdr:cNvPr>
            <xdr:cNvSpPr txBox="1"/>
          </xdr:nvSpPr>
          <xdr:spPr>
            <a:xfrm>
              <a:off x="1362076" y="14297026"/>
              <a:ext cx="181610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+/−</m:t>
                        </m:r>
                      </m:sup>
                    </m:s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nary>
                          <m:naryPr>
                            <m:chr m:val="∑"/>
                            <m:limLoc m:val="subSup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</m:t>
                            </m:r>
                          </m:sub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  <m:e>
                            <m:sSup>
                              <m:sSupPr>
                                <m:ctrlP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sSub>
                                  <m:sSub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𝑖𝑗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sSubSup>
                                  <m:sSubSupPr>
                                    <m:ctrlP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𝑗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 </m:t>
                                    </m:r>
                                  </m:sub>
                                  <m:sup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+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/−</m:t>
                                    </m:r>
                                  </m:sup>
                                </m:sSub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4BC6555-8961-4EB1-E381-DADD2F6FDC29}"/>
                </a:ext>
              </a:extLst>
            </xdr:cNvPr>
            <xdr:cNvSpPr txBox="1"/>
          </xdr:nvSpPr>
          <xdr:spPr>
            <a:xfrm>
              <a:off x="1362076" y="14297026"/>
              <a:ext cx="181610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𝑆_𝑖〗^(+/−)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√(∑26_(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𝑗=1)^𝑛▒〖(𝑣_𝑖𝑗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−𝑣_(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)^(+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)〗^2 )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652460</xdr:colOff>
      <xdr:row>61</xdr:row>
      <xdr:rowOff>47625</xdr:rowOff>
    </xdr:from>
    <xdr:ext cx="1816109" cy="19704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90FBC42-CCD2-4217-8890-05949755A4DC}"/>
                </a:ext>
              </a:extLst>
            </xdr:cNvPr>
            <xdr:cNvSpPr txBox="1"/>
          </xdr:nvSpPr>
          <xdr:spPr>
            <a:xfrm>
              <a:off x="11825285" y="11087100"/>
              <a:ext cx="1816109" cy="197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𝑖𝑗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sSubSup>
                          <m:sSubSup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𝑗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−</m:t>
                            </m:r>
                          </m:sup>
                        </m:sSub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)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90FBC42-CCD2-4217-8890-05949755A4DC}"/>
                </a:ext>
              </a:extLst>
            </xdr:cNvPr>
            <xdr:cNvSpPr txBox="1"/>
          </xdr:nvSpPr>
          <xdr:spPr>
            <a:xfrm>
              <a:off x="11825285" y="11087100"/>
              <a:ext cx="1816109" cy="197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(𝑣_𝑖𝑗−𝑣_(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)^−)〗^2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523874</xdr:colOff>
      <xdr:row>61</xdr:row>
      <xdr:rowOff>66675</xdr:rowOff>
    </xdr:from>
    <xdr:ext cx="1816109" cy="19704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5202A51-696E-42DA-A632-CEABFB4E3A99}"/>
                </a:ext>
              </a:extLst>
            </xdr:cNvPr>
            <xdr:cNvSpPr txBox="1"/>
          </xdr:nvSpPr>
          <xdr:spPr>
            <a:xfrm>
              <a:off x="3786187" y="11106150"/>
              <a:ext cx="1816109" cy="197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𝑖𝑗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sSubSup>
                          <m:sSubSup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𝑗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</m:sup>
                        </m:sSub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)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5202A51-696E-42DA-A632-CEABFB4E3A99}"/>
                </a:ext>
              </a:extLst>
            </xdr:cNvPr>
            <xdr:cNvSpPr txBox="1"/>
          </xdr:nvSpPr>
          <xdr:spPr>
            <a:xfrm>
              <a:off x="3786187" y="11106150"/>
              <a:ext cx="1816109" cy="197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(𝑣_𝑖𝑗−𝑣_(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)〗^2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66675</xdr:colOff>
      <xdr:row>79</xdr:row>
      <xdr:rowOff>14288</xdr:rowOff>
    </xdr:from>
    <xdr:ext cx="1816109" cy="3456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69EF528-2FBD-4395-B863-A68AC1EF8020}"/>
                </a:ext>
              </a:extLst>
            </xdr:cNvPr>
            <xdr:cNvSpPr txBox="1"/>
          </xdr:nvSpPr>
          <xdr:spPr>
            <a:xfrm>
              <a:off x="3981450" y="14311313"/>
              <a:ext cx="1816109" cy="3456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𝐶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𝑆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</m:num>
                      <m:den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−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𝑆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69EF528-2FBD-4395-B863-A68AC1EF8020}"/>
                </a:ext>
              </a:extLst>
            </xdr:cNvPr>
            <xdr:cNvSpPr txBox="1"/>
          </xdr:nvSpPr>
          <xdr:spPr>
            <a:xfrm>
              <a:off x="3981450" y="14311313"/>
              <a:ext cx="1816109" cy="3456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𝐶_𝑖=(𝑆−)/(𝑆_−+𝑆+)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78441</xdr:colOff>
      <xdr:row>20</xdr:row>
      <xdr:rowOff>33617</xdr:rowOff>
    </xdr:from>
    <xdr:ext cx="931986" cy="50526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AF23D2F-D2F9-45B3-8EF2-13E340A98E78}"/>
                </a:ext>
              </a:extLst>
            </xdr:cNvPr>
            <xdr:cNvSpPr txBox="1"/>
          </xdr:nvSpPr>
          <xdr:spPr>
            <a:xfrm>
              <a:off x="3328147" y="3619499"/>
              <a:ext cx="931986" cy="505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effectLst/>
                            <a:latin typeface="Cambria Math" panose="02040503050406030204" pitchFamily="18" charset="0"/>
                            <a:cs typeface="B Nazanin" panose="00000400000000000000" pitchFamily="2" charset="-78"/>
                          </a:rPr>
                        </m:ctrlPr>
                      </m:sSubPr>
                      <m:e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B Nazanin" panose="00000400000000000000" pitchFamily="2" charset="-78"/>
                          </a:rPr>
                          <m:t>𝑟</m:t>
                        </m:r>
                      </m:e>
                      <m:sub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B Nazanin" panose="00000400000000000000" pitchFamily="2" charset="-78"/>
                          </a:rPr>
                          <m:t>𝑖𝑗</m:t>
                        </m:r>
                      </m:sub>
                    </m:sSub>
                    <m:r>
                      <a:rPr lang="en-US" sz="1100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B Nazanin" panose="00000400000000000000" pitchFamily="2" charset="-78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effectLst/>
                            <a:latin typeface="Cambria Math" panose="02040503050406030204" pitchFamily="18" charset="0"/>
                            <a:cs typeface="B Nazanin" panose="00000400000000000000" pitchFamily="2" charset="-78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i="1">
                                <a:effectLst/>
                                <a:latin typeface="Cambria Math" panose="02040503050406030204" pitchFamily="18" charset="0"/>
                                <a:cs typeface="B Nazanin" panose="00000400000000000000" pitchFamily="2" charset="-78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B Nazanin" panose="00000400000000000000" pitchFamily="2" charset="-78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1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B Nazanin" panose="00000400000000000000" pitchFamily="2" charset="-78"/>
                              </a:rPr>
                              <m:t>𝑖𝑗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n-US" sz="1100" i="1">
                                <a:effectLst/>
                                <a:latin typeface="Cambria Math" panose="02040503050406030204" pitchFamily="18" charset="0"/>
                                <a:cs typeface="B Nazanin" panose="00000400000000000000" pitchFamily="2" charset="-78"/>
                              </a:rPr>
                            </m:ctrlPr>
                          </m:radPr>
                          <m:deg/>
                          <m:e>
                            <m:nary>
                              <m:naryPr>
                                <m:chr m:val="∑"/>
                                <m:limLoc m:val="subSup"/>
                                <m:ctrlPr>
                                  <a:rPr lang="en-US" sz="1100" i="1">
                                    <a:effectLst/>
                                    <a:latin typeface="Cambria Math" panose="02040503050406030204" pitchFamily="18" charset="0"/>
                                    <a:cs typeface="B Nazanin" panose="00000400000000000000" pitchFamily="2" charset="-78"/>
                                  </a:rPr>
                                </m:ctrlPr>
                              </m:naryPr>
                              <m:sub>
                                <m:r>
                                  <a:rPr lang="en-US" sz="1100" i="1">
                                    <a:effectLst/>
                                    <a:latin typeface="Cambria Math" panose="02040503050406030204" pitchFamily="18" charset="0"/>
                                    <a:ea typeface="Calibri" panose="020F0502020204030204" pitchFamily="34" charset="0"/>
                                    <a:cs typeface="B Nazanin" panose="00000400000000000000" pitchFamily="2" charset="-78"/>
                                  </a:rPr>
                                  <m:t>𝑖</m:t>
                                </m:r>
                                <m:r>
                                  <a:rPr lang="en-US" sz="1100" i="1">
                                    <a:effectLst/>
                                    <a:latin typeface="Cambria Math" panose="02040503050406030204" pitchFamily="18" charset="0"/>
                                    <a:ea typeface="Calibri" panose="020F0502020204030204" pitchFamily="34" charset="0"/>
                                    <a:cs typeface="B Nazanin" panose="00000400000000000000" pitchFamily="2" charset="-78"/>
                                  </a:rPr>
                                  <m:t>=1</m:t>
                                </m:r>
                              </m:sub>
                              <m:sup>
                                <m:r>
                                  <a:rPr lang="en-US" sz="1100" i="1">
                                    <a:effectLst/>
                                    <a:latin typeface="Cambria Math" panose="02040503050406030204" pitchFamily="18" charset="0"/>
                                    <a:ea typeface="Calibri" panose="020F0502020204030204" pitchFamily="34" charset="0"/>
                                    <a:cs typeface="B Nazanin" panose="00000400000000000000" pitchFamily="2" charset="-78"/>
                                  </a:rPr>
                                  <m:t>𝑚</m:t>
                                </m:r>
                              </m:sup>
                              <m:e>
                                <m:sSubSup>
                                  <m:sSubSupPr>
                                    <m:ctrlPr>
                                      <a:rPr lang="en-US" sz="1100" i="1">
                                        <a:effectLst/>
                                        <a:latin typeface="Cambria Math" panose="02040503050406030204" pitchFamily="18" charset="0"/>
                                        <a:cs typeface="B Nazanin" panose="00000400000000000000" pitchFamily="2" charset="-78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100" i="1">
                                        <a:effectLst/>
                                        <a:latin typeface="Cambria Math" panose="02040503050406030204" pitchFamily="18" charset="0"/>
                                        <a:ea typeface="Calibri" panose="020F0502020204030204" pitchFamily="34" charset="0"/>
                                        <a:cs typeface="B Nazanin" panose="00000400000000000000" pitchFamily="2" charset="-78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n-US" sz="1100" i="1">
                                        <a:effectLst/>
                                        <a:latin typeface="Cambria Math" panose="02040503050406030204" pitchFamily="18" charset="0"/>
                                        <a:ea typeface="Calibri" panose="020F0502020204030204" pitchFamily="34" charset="0"/>
                                        <a:cs typeface="B Nazanin" panose="00000400000000000000" pitchFamily="2" charset="-78"/>
                                      </a:rPr>
                                      <m:t>𝑖𝑗</m:t>
                                    </m:r>
                                  </m:sub>
                                  <m:sup>
                                    <m:r>
                                      <a:rPr lang="en-US" sz="1100" i="1">
                                        <a:effectLst/>
                                        <a:latin typeface="Cambria Math" panose="02040503050406030204" pitchFamily="18" charset="0"/>
                                        <a:ea typeface="Calibri" panose="020F0502020204030204" pitchFamily="34" charset="0"/>
                                        <a:cs typeface="B Nazanin" panose="00000400000000000000" pitchFamily="2" charset="-78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nary>
                          </m:e>
                        </m:rad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AF23D2F-D2F9-45B3-8EF2-13E340A98E78}"/>
                </a:ext>
              </a:extLst>
            </xdr:cNvPr>
            <xdr:cNvSpPr txBox="1"/>
          </xdr:nvSpPr>
          <xdr:spPr>
            <a:xfrm>
              <a:off x="3328147" y="3619499"/>
              <a:ext cx="931986" cy="5052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B Nazanin" panose="00000400000000000000" pitchFamily="2" charset="-78"/>
                </a:rPr>
                <a:t>𝑟_𝑖𝑗=𝑥_𝑖𝑗/√(∑2_(𝑖=1)^𝑚▒𝑥_𝑖𝑗^2 )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461963</xdr:colOff>
      <xdr:row>61</xdr:row>
      <xdr:rowOff>61912</xdr:rowOff>
    </xdr:from>
    <xdr:ext cx="1816109" cy="19704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D6F09F5-8B02-4F73-883B-C5DCFB971B91}"/>
                </a:ext>
              </a:extLst>
            </xdr:cNvPr>
            <xdr:cNvSpPr txBox="1"/>
          </xdr:nvSpPr>
          <xdr:spPr>
            <a:xfrm>
              <a:off x="3071813" y="11101387"/>
              <a:ext cx="1816109" cy="197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𝑖𝑗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sSubSup>
                          <m:sSubSup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𝑗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</m:sup>
                        </m:sSub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)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D6F09F5-8B02-4F73-883B-C5DCFB971B91}"/>
                </a:ext>
              </a:extLst>
            </xdr:cNvPr>
            <xdr:cNvSpPr txBox="1"/>
          </xdr:nvSpPr>
          <xdr:spPr>
            <a:xfrm>
              <a:off x="3071813" y="11101387"/>
              <a:ext cx="1816109" cy="197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(𝑣_𝑖𝑗−𝑣_(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)〗^2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17</xdr:col>
      <xdr:colOff>80963</xdr:colOff>
      <xdr:row>61</xdr:row>
      <xdr:rowOff>47625</xdr:rowOff>
    </xdr:from>
    <xdr:ext cx="1816109" cy="19704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D11140D-6521-4188-896D-39CC9F3FAF55}"/>
                </a:ext>
              </a:extLst>
            </xdr:cNvPr>
            <xdr:cNvSpPr txBox="1"/>
          </xdr:nvSpPr>
          <xdr:spPr>
            <a:xfrm>
              <a:off x="11253788" y="11087100"/>
              <a:ext cx="1816109" cy="197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(</m:t>
                        </m:r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𝑖𝑗</m:t>
                            </m:r>
                          </m:sub>
                        </m:sSub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  <m:sSubSup>
                          <m:sSubSup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Sup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𝑗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−</m:t>
                            </m:r>
                          </m:sup>
                        </m:sSub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)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D11140D-6521-4188-896D-39CC9F3FAF55}"/>
                </a:ext>
              </a:extLst>
            </xdr:cNvPr>
            <xdr:cNvSpPr txBox="1"/>
          </xdr:nvSpPr>
          <xdr:spPr>
            <a:xfrm>
              <a:off x="11253788" y="11087100"/>
              <a:ext cx="1816109" cy="19704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(𝑣_𝑖𝑗−𝑣_(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)^−)〗^2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76200</xdr:colOff>
      <xdr:row>79</xdr:row>
      <xdr:rowOff>9525</xdr:rowOff>
    </xdr:from>
    <xdr:ext cx="1816109" cy="50013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C8A2730-AED9-4CA0-97A4-6F34D0F3406B}"/>
                </a:ext>
              </a:extLst>
            </xdr:cNvPr>
            <xdr:cNvSpPr txBox="1"/>
          </xdr:nvSpPr>
          <xdr:spPr>
            <a:xfrm>
              <a:off x="1381125" y="14306550"/>
              <a:ext cx="181610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+/−</m:t>
                        </m:r>
                      </m:sup>
                    </m:s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nary>
                          <m:naryPr>
                            <m:chr m:val="∑"/>
                            <m:limLoc m:val="subSup"/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𝑗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</m:t>
                            </m:r>
                          </m:sub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  <m:e>
                            <m:sSup>
                              <m:sSupPr>
                                <m:ctrlPr>
                                  <a:rPr lang="en-US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sSub>
                                  <m:sSubPr>
                                    <m:ctrlP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𝑖𝑗</m:t>
                                    </m:r>
                                  </m:sub>
                                </m:s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sSubSup>
                                  <m:sSubSupPr>
                                    <m:ctrlP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𝑣</m:t>
                                    </m:r>
                                  </m:e>
                                  <m:sub>
                                    <m:r>
                                      <a:rPr lang="en-US" sz="11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𝑗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 </m:t>
                                    </m:r>
                                  </m:sub>
                                  <m:sup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+mn-lt"/>
                                        <a:ea typeface="+mn-ea"/>
                                        <a:cs typeface="+mn-cs"/>
                                      </a:rPr>
                                      <m:t>+</m:t>
                                    </m:r>
                                    <m:r>
                                      <a:rPr lang="en-US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/−</m:t>
                                    </m:r>
                                  </m:sup>
                                </m:sSub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9C8A2730-AED9-4CA0-97A4-6F34D0F3406B}"/>
                </a:ext>
              </a:extLst>
            </xdr:cNvPr>
            <xdr:cNvSpPr txBox="1"/>
          </xdr:nvSpPr>
          <xdr:spPr>
            <a:xfrm>
              <a:off x="1381125" y="14306550"/>
              <a:ext cx="1816109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𝑆_𝑖〗^(+/−)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√(∑26_(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𝑗=1)^𝑛▒〖(𝑣_𝑖𝑗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−𝑣_(</a:t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)^(+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)〗^2 )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95251</xdr:colOff>
      <xdr:row>79</xdr:row>
      <xdr:rowOff>66675</xdr:rowOff>
    </xdr:from>
    <xdr:ext cx="1816109" cy="3456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AA98FFD-0F07-49C9-9D6D-8B7A47B8320A}"/>
                </a:ext>
              </a:extLst>
            </xdr:cNvPr>
            <xdr:cNvSpPr txBox="1"/>
          </xdr:nvSpPr>
          <xdr:spPr>
            <a:xfrm>
              <a:off x="4010026" y="14363700"/>
              <a:ext cx="1816109" cy="3456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𝐶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𝑆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</m:t>
                        </m:r>
                      </m:num>
                      <m:den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𝑆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−</m:t>
                            </m:r>
                          </m:sub>
                        </m:s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𝑆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+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AA98FFD-0F07-49C9-9D6D-8B7A47B8320A}"/>
                </a:ext>
              </a:extLst>
            </xdr:cNvPr>
            <xdr:cNvSpPr txBox="1"/>
          </xdr:nvSpPr>
          <xdr:spPr>
            <a:xfrm>
              <a:off x="4010026" y="14363700"/>
              <a:ext cx="1816109" cy="3456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𝐶_𝑖=(𝑆−)/(𝑆_−+𝑆+)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96"/>
  <sheetViews>
    <sheetView tabSelected="1" workbookViewId="0">
      <selection activeCell="N9" sqref="N9"/>
    </sheetView>
  </sheetViews>
  <sheetFormatPr defaultColWidth="9.1328125" defaultRowHeight="14.25" x14ac:dyDescent="0.45"/>
  <cols>
    <col min="1" max="8" width="9.1328125" style="2"/>
    <col min="9" max="9" width="10.265625" style="2" bestFit="1" customWidth="1"/>
    <col min="10" max="16384" width="9.1328125" style="2"/>
  </cols>
  <sheetData>
    <row r="1" spans="2:17" x14ac:dyDescent="0.45">
      <c r="M1"/>
      <c r="N1"/>
    </row>
    <row r="2" spans="2:17" x14ac:dyDescent="0.45">
      <c r="C2" s="22" t="s">
        <v>23</v>
      </c>
      <c r="D2" s="22"/>
      <c r="E2" s="22"/>
      <c r="F2" s="22"/>
      <c r="G2" s="22"/>
      <c r="H2" s="22"/>
      <c r="I2" s="22"/>
      <c r="J2" s="22"/>
      <c r="K2" s="22"/>
      <c r="L2" s="22"/>
      <c r="M2"/>
      <c r="N2"/>
    </row>
    <row r="3" spans="2:17" x14ac:dyDescent="0.45">
      <c r="B3" s="1"/>
      <c r="C3" s="3" t="s">
        <v>0</v>
      </c>
      <c r="D3" s="3" t="s">
        <v>1</v>
      </c>
      <c r="E3" s="4" t="s">
        <v>2</v>
      </c>
      <c r="F3" s="4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/>
      <c r="N3"/>
    </row>
    <row r="4" spans="2:17" x14ac:dyDescent="0.45">
      <c r="B4" s="5" t="s">
        <v>10</v>
      </c>
      <c r="C4" s="1">
        <v>1.3280000000000001</v>
      </c>
      <c r="D4" s="1">
        <v>1.181</v>
      </c>
      <c r="E4" s="1">
        <v>0.72199999999999998</v>
      </c>
      <c r="F4" s="1">
        <v>2.601</v>
      </c>
      <c r="G4" s="1">
        <v>1.909</v>
      </c>
      <c r="H4" s="1">
        <v>20.390999999999998</v>
      </c>
      <c r="I4" s="1">
        <v>3.2000000000000001E-2</v>
      </c>
      <c r="J4" s="1">
        <v>3.2000000000000001E-2</v>
      </c>
      <c r="K4" s="1">
        <v>7.7329999999999997</v>
      </c>
      <c r="L4" s="1">
        <v>5.5E-2</v>
      </c>
      <c r="M4"/>
      <c r="N4"/>
      <c r="O4"/>
      <c r="P4"/>
      <c r="Q4"/>
    </row>
    <row r="5" spans="2:17" x14ac:dyDescent="0.45">
      <c r="B5" s="5" t="s">
        <v>11</v>
      </c>
      <c r="C5" s="1">
        <v>0.873</v>
      </c>
      <c r="D5" s="1">
        <v>0.81899999999999995</v>
      </c>
      <c r="E5" s="1">
        <v>0.68200000000000005</v>
      </c>
      <c r="F5" s="1">
        <v>2.15</v>
      </c>
      <c r="G5" s="1">
        <v>0.76900000000000002</v>
      </c>
      <c r="H5" s="1">
        <v>0.49320000000000003</v>
      </c>
      <c r="I5" s="1">
        <v>-7.0999999999999994E-2</v>
      </c>
      <c r="J5" s="1">
        <v>-7.0000000000000007E-2</v>
      </c>
      <c r="K5" s="1">
        <f>-5/28</f>
        <v>-0.17857142857142858</v>
      </c>
      <c r="L5" s="1">
        <v>-0.02</v>
      </c>
      <c r="M5"/>
      <c r="N5"/>
      <c r="O5"/>
      <c r="P5"/>
      <c r="Q5"/>
    </row>
    <row r="6" spans="2:17" x14ac:dyDescent="0.45">
      <c r="B6" s="5" t="s">
        <v>12</v>
      </c>
      <c r="C6" s="1">
        <v>1.4570000000000001</v>
      </c>
      <c r="D6" s="1">
        <v>0.84299999999999997</v>
      </c>
      <c r="E6" s="1">
        <v>0.65100000000000002</v>
      </c>
      <c r="F6" s="1">
        <v>1.867</v>
      </c>
      <c r="G6" s="1">
        <v>4.3220000000000001</v>
      </c>
      <c r="H6" s="1">
        <v>77.775999999999996</v>
      </c>
      <c r="I6" s="1">
        <v>2.5000000000000001E-2</v>
      </c>
      <c r="J6" s="1">
        <v>2.5000000000000001E-2</v>
      </c>
      <c r="K6" s="1">
        <v>13.78</v>
      </c>
      <c r="L6" s="1">
        <v>0.10299999999999999</v>
      </c>
      <c r="M6"/>
      <c r="N6"/>
      <c r="O6"/>
      <c r="P6"/>
      <c r="Q6"/>
    </row>
    <row r="7" spans="2:17" x14ac:dyDescent="0.45">
      <c r="B7" s="5" t="s">
        <v>13</v>
      </c>
      <c r="C7" s="1">
        <v>1.4950000000000001</v>
      </c>
      <c r="D7" s="1">
        <v>0.96199999999999997</v>
      </c>
      <c r="E7" s="1">
        <v>0.65200000000000002</v>
      </c>
      <c r="F7" s="1">
        <v>1.8720000000000001</v>
      </c>
      <c r="G7" s="1">
        <v>3.1030000000000002</v>
      </c>
      <c r="H7" s="1">
        <v>96.384</v>
      </c>
      <c r="I7" s="1">
        <v>1.4999999999999999E-2</v>
      </c>
      <c r="J7" s="1">
        <v>1.4999999999999999E-2</v>
      </c>
      <c r="K7" s="1">
        <v>9.3699999999999992</v>
      </c>
      <c r="L7" s="1">
        <v>4.3999999999999997E-2</v>
      </c>
      <c r="M7" s="14"/>
      <c r="N7"/>
      <c r="O7"/>
      <c r="P7"/>
      <c r="Q7"/>
    </row>
    <row r="8" spans="2:17" x14ac:dyDescent="0.45">
      <c r="B8" s="5" t="s">
        <v>14</v>
      </c>
      <c r="C8" s="1">
        <v>2.3940000000000001</v>
      </c>
      <c r="D8" s="1">
        <v>1.7090000000000001</v>
      </c>
      <c r="E8" s="1">
        <v>0.73399999999999999</v>
      </c>
      <c r="F8" s="1">
        <v>2.7650000000000001</v>
      </c>
      <c r="G8" s="1">
        <v>0.54600000000000004</v>
      </c>
      <c r="H8" s="1">
        <v>1.7727999999999999</v>
      </c>
      <c r="I8" s="1">
        <v>0.17699999999999999</v>
      </c>
      <c r="J8" s="1">
        <v>0.17699999999999999</v>
      </c>
      <c r="K8" s="1">
        <v>0.93799999999999994</v>
      </c>
      <c r="L8" s="1">
        <v>7.3999999999999996E-2</v>
      </c>
      <c r="M8" s="14"/>
      <c r="N8"/>
      <c r="O8"/>
      <c r="P8"/>
      <c r="Q8"/>
    </row>
    <row r="9" spans="2:17" x14ac:dyDescent="0.45">
      <c r="B9" s="5" t="s">
        <v>16</v>
      </c>
      <c r="C9" s="1">
        <v>1.4390000000000001</v>
      </c>
      <c r="D9" s="1">
        <v>1.0129999999999999</v>
      </c>
      <c r="E9" s="1">
        <v>0.69399999999999995</v>
      </c>
      <c r="F9" s="1">
        <v>2.2730000000000001</v>
      </c>
      <c r="G9" s="1">
        <v>4.2290000000000001</v>
      </c>
      <c r="H9" s="1">
        <v>2191.6</v>
      </c>
      <c r="I9" s="1">
        <v>1.4E-2</v>
      </c>
      <c r="J9" s="1">
        <v>1.4E-2</v>
      </c>
      <c r="K9" s="1">
        <v>13.86</v>
      </c>
      <c r="L9" s="1">
        <v>6.0999999999999999E-2</v>
      </c>
      <c r="M9" s="14"/>
      <c r="N9"/>
      <c r="O9"/>
      <c r="P9"/>
      <c r="Q9"/>
    </row>
    <row r="10" spans="2:17" x14ac:dyDescent="0.45">
      <c r="B10" s="5" t="s">
        <v>17</v>
      </c>
      <c r="C10" s="1">
        <v>0.47799999999999998</v>
      </c>
      <c r="D10" s="1">
        <v>0.157</v>
      </c>
      <c r="E10" s="1">
        <v>0.20599999999999999</v>
      </c>
      <c r="F10" s="1">
        <v>0.25900000000000001</v>
      </c>
      <c r="G10" s="1">
        <v>3.6640000000000001</v>
      </c>
      <c r="H10" s="1">
        <v>0.39129999999999998</v>
      </c>
      <c r="I10" s="1">
        <v>0.107</v>
      </c>
      <c r="J10" s="1">
        <v>0.107</v>
      </c>
      <c r="K10" s="1">
        <v>-3.36</v>
      </c>
      <c r="L10" s="1">
        <v>3.7999999999999999E-2</v>
      </c>
      <c r="M10" s="14"/>
      <c r="N10"/>
      <c r="O10"/>
      <c r="P10"/>
      <c r="Q10"/>
    </row>
    <row r="11" spans="2:17" x14ac:dyDescent="0.45">
      <c r="B11" s="5" t="s">
        <v>15</v>
      </c>
      <c r="C11" s="1">
        <v>1.296</v>
      </c>
      <c r="D11" s="1">
        <v>0.85199999999999998</v>
      </c>
      <c r="E11" s="1">
        <v>0.74199999999999999</v>
      </c>
      <c r="F11" s="1">
        <v>2.8730000000000002</v>
      </c>
      <c r="G11" s="1">
        <v>2.681</v>
      </c>
      <c r="H11" s="1">
        <v>34.973999999999997</v>
      </c>
      <c r="I11" s="1">
        <v>1.6E-2</v>
      </c>
      <c r="J11" s="1">
        <v>1.6E-2</v>
      </c>
      <c r="K11" s="1">
        <v>11.74</v>
      </c>
      <c r="L11" s="1">
        <v>0.04</v>
      </c>
      <c r="M11" s="14"/>
      <c r="N11"/>
      <c r="O11"/>
      <c r="P11"/>
      <c r="Q11"/>
    </row>
    <row r="12" spans="2:17" x14ac:dyDescent="0.45">
      <c r="B12" s="5" t="s">
        <v>18</v>
      </c>
      <c r="C12" s="1">
        <v>2.4289999999999998</v>
      </c>
      <c r="D12" s="1">
        <v>1.677</v>
      </c>
      <c r="E12" s="1">
        <v>0.35</v>
      </c>
      <c r="F12" s="1">
        <v>0.53800000000000003</v>
      </c>
      <c r="G12" s="1">
        <v>1.008</v>
      </c>
      <c r="H12" s="1">
        <v>2.9001999999999999</v>
      </c>
      <c r="I12" s="1">
        <v>0.13700000000000001</v>
      </c>
      <c r="J12" s="1">
        <v>0.13700000000000001</v>
      </c>
      <c r="K12" s="1">
        <v>1.7130000000000001</v>
      </c>
      <c r="L12" s="1">
        <v>0.10199999999999999</v>
      </c>
      <c r="M12" s="14"/>
      <c r="N12"/>
      <c r="O12"/>
      <c r="P12"/>
      <c r="Q12"/>
    </row>
    <row r="13" spans="2:17" x14ac:dyDescent="0.45">
      <c r="B13" s="5" t="s">
        <v>19</v>
      </c>
      <c r="C13" s="1">
        <v>3.113</v>
      </c>
      <c r="D13" s="1">
        <v>3.0950000000000002</v>
      </c>
      <c r="E13" s="1">
        <v>0.128</v>
      </c>
      <c r="F13" s="1">
        <v>0.14699999999999999</v>
      </c>
      <c r="G13" s="1">
        <v>1.1890000000000001</v>
      </c>
      <c r="H13" s="1">
        <v>0.64929999999999999</v>
      </c>
      <c r="I13" s="1">
        <v>-0.312</v>
      </c>
      <c r="J13" s="1">
        <v>-0.31</v>
      </c>
      <c r="K13" s="1">
        <v>1.752</v>
      </c>
      <c r="L13" s="1">
        <v>-0.13</v>
      </c>
      <c r="M13" s="14"/>
      <c r="N13"/>
      <c r="O13"/>
      <c r="P13"/>
      <c r="Q13"/>
    </row>
    <row r="14" spans="2:17" x14ac:dyDescent="0.45">
      <c r="B14" s="5" t="s">
        <v>20</v>
      </c>
      <c r="C14" s="1">
        <v>1.8029999999999999</v>
      </c>
      <c r="D14" s="1">
        <v>1.78</v>
      </c>
      <c r="E14" s="1">
        <v>0.19500000000000001</v>
      </c>
      <c r="F14" s="1">
        <v>0.24299999999999999</v>
      </c>
      <c r="G14" s="1">
        <v>1.1739999999999999</v>
      </c>
      <c r="H14" s="1">
        <v>0.50619999999999998</v>
      </c>
      <c r="I14" s="1">
        <v>-0.315</v>
      </c>
      <c r="J14" s="1">
        <v>-0.32</v>
      </c>
      <c r="K14" s="1">
        <v>2.6349999999999998</v>
      </c>
      <c r="L14" s="1">
        <v>-0.11</v>
      </c>
      <c r="M14" s="14"/>
      <c r="N14"/>
      <c r="O14"/>
      <c r="P14"/>
      <c r="Q14"/>
    </row>
    <row r="15" spans="2:17" x14ac:dyDescent="0.45">
      <c r="B15" s="5" t="s">
        <v>21</v>
      </c>
      <c r="C15" s="1">
        <v>2.0830000000000002</v>
      </c>
      <c r="D15" s="1">
        <v>1.9390000000000001</v>
      </c>
      <c r="E15" s="1">
        <v>0.39400000000000002</v>
      </c>
      <c r="F15" s="1">
        <v>0.65100000000000002</v>
      </c>
      <c r="G15" s="1">
        <v>0.66700000000000004</v>
      </c>
      <c r="H15" s="1">
        <v>2.0242</v>
      </c>
      <c r="I15" s="1">
        <v>0.11700000000000001</v>
      </c>
      <c r="J15" s="1">
        <v>0.11700000000000001</v>
      </c>
      <c r="K15" s="1">
        <v>1.284</v>
      </c>
      <c r="L15" s="1">
        <v>5.8999999999999997E-2</v>
      </c>
      <c r="M15" s="14"/>
      <c r="N15"/>
      <c r="O15"/>
      <c r="P15"/>
      <c r="Q15"/>
    </row>
    <row r="16" spans="2:17" x14ac:dyDescent="0.45">
      <c r="B16" s="5" t="s">
        <v>22</v>
      </c>
      <c r="C16" s="1">
        <v>8.9090000000000007</v>
      </c>
      <c r="D16" s="1">
        <v>6.7830000000000004</v>
      </c>
      <c r="E16" s="1">
        <v>0.17599999999999999</v>
      </c>
      <c r="F16" s="1">
        <v>0.21299999999999999</v>
      </c>
      <c r="G16" s="1">
        <v>2.3370000000000002</v>
      </c>
      <c r="H16" s="1">
        <v>4.3230000000000004</v>
      </c>
      <c r="I16" s="1">
        <v>0.05</v>
      </c>
      <c r="J16" s="1">
        <v>0.05</v>
      </c>
      <c r="K16" s="1">
        <v>2.6320000000000001</v>
      </c>
      <c r="L16" s="1">
        <v>7.4999999999999997E-2</v>
      </c>
      <c r="M16" s="14"/>
      <c r="N16"/>
      <c r="O16"/>
      <c r="P16"/>
      <c r="Q16"/>
    </row>
    <row r="17" spans="2:17" x14ac:dyDescent="0.45">
      <c r="B17" s="10" t="s">
        <v>38</v>
      </c>
      <c r="C17" s="1">
        <v>1</v>
      </c>
      <c r="D17" s="1">
        <v>1</v>
      </c>
      <c r="E17" s="1">
        <v>0</v>
      </c>
      <c r="F17" s="1">
        <v>0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4"/>
      <c r="N17"/>
      <c r="O17"/>
      <c r="P17"/>
      <c r="Q17"/>
    </row>
    <row r="18" spans="2:17" x14ac:dyDescent="0.45">
      <c r="B18" s="5" t="s">
        <v>32</v>
      </c>
      <c r="C18" s="1">
        <v>0.1</v>
      </c>
      <c r="D18" s="1">
        <v>0.1</v>
      </c>
      <c r="E18" s="1">
        <v>0.1</v>
      </c>
      <c r="F18" s="1">
        <v>0.1</v>
      </c>
      <c r="G18" s="1">
        <v>0.1</v>
      </c>
      <c r="H18" s="1">
        <v>0.1</v>
      </c>
      <c r="I18" s="1">
        <v>0.1</v>
      </c>
      <c r="J18" s="1">
        <v>0.1</v>
      </c>
      <c r="K18" s="1">
        <v>0.1</v>
      </c>
      <c r="L18" s="1">
        <v>0.1</v>
      </c>
      <c r="M18" s="14"/>
      <c r="N18"/>
      <c r="O18"/>
      <c r="P18"/>
      <c r="Q18"/>
    </row>
    <row r="19" spans="2:17" x14ac:dyDescent="0.4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14"/>
      <c r="N19"/>
      <c r="O19"/>
      <c r="P19"/>
      <c r="Q19"/>
    </row>
    <row r="20" spans="2:17" x14ac:dyDescent="0.45">
      <c r="B20" s="6"/>
      <c r="C20" s="22" t="s">
        <v>51</v>
      </c>
      <c r="D20" s="22"/>
      <c r="E20" s="22"/>
      <c r="F20" s="22"/>
      <c r="G20" s="22"/>
      <c r="H20" s="22"/>
      <c r="I20" s="22"/>
      <c r="J20" s="22"/>
      <c r="K20" s="22"/>
      <c r="L20" s="22"/>
      <c r="M20" s="14"/>
      <c r="N20"/>
      <c r="O20"/>
      <c r="P20"/>
      <c r="Q20"/>
    </row>
    <row r="21" spans="2:17" x14ac:dyDescent="0.45">
      <c r="B21" s="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4"/>
      <c r="N21"/>
      <c r="O21"/>
      <c r="P21"/>
      <c r="Q21"/>
    </row>
    <row r="22" spans="2:17" x14ac:dyDescent="0.45">
      <c r="B22" s="6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4"/>
      <c r="N22"/>
      <c r="O22"/>
      <c r="P22"/>
      <c r="Q22"/>
    </row>
    <row r="23" spans="2:17" x14ac:dyDescent="0.45"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4"/>
      <c r="N23"/>
      <c r="O23"/>
      <c r="P23"/>
      <c r="Q23"/>
    </row>
    <row r="24" spans="2:17" x14ac:dyDescent="0.45">
      <c r="B24" s="1"/>
      <c r="C24" s="5" t="s">
        <v>0</v>
      </c>
      <c r="D24" s="5" t="s">
        <v>1</v>
      </c>
      <c r="E24" s="5" t="s">
        <v>2</v>
      </c>
      <c r="F24" s="5" t="s">
        <v>3</v>
      </c>
      <c r="G24" s="5" t="s">
        <v>4</v>
      </c>
      <c r="H24" s="5" t="s">
        <v>5</v>
      </c>
      <c r="I24" s="5" t="s">
        <v>6</v>
      </c>
      <c r="J24" s="5" t="s">
        <v>7</v>
      </c>
      <c r="K24" s="5" t="s">
        <v>8</v>
      </c>
      <c r="L24" s="5" t="s">
        <v>9</v>
      </c>
      <c r="M24" s="14"/>
      <c r="N24"/>
      <c r="O24"/>
      <c r="P24"/>
      <c r="Q24"/>
    </row>
    <row r="25" spans="2:17" x14ac:dyDescent="0.45">
      <c r="B25" s="5" t="s">
        <v>10</v>
      </c>
      <c r="C25" s="1">
        <f>C4/SQRT(SUMSQ($C$4:$C$16))</f>
        <v>0.12166374976820023</v>
      </c>
      <c r="D25" s="1">
        <f>D4/SQRT(SUMSQ($D$4:$D$16))</f>
        <v>0.13754186288751538</v>
      </c>
      <c r="E25" s="1">
        <f>E4/SQRT(SUMSQ($E$4:$E$16))</f>
        <v>0.36980319886888252</v>
      </c>
      <c r="F25" s="1">
        <f>F4/SQRT(SUMSQ($F$4:$F$16))</f>
        <v>0.40946664384970771</v>
      </c>
      <c r="G25" s="1">
        <f>G4/SQRT(SUMSQ($G$4:$G$16))</f>
        <v>0.21204087700347499</v>
      </c>
      <c r="H25" s="1">
        <f>H4/SQRT(SUMSQ($H$4:$H$16))</f>
        <v>9.2877265937061273E-3</v>
      </c>
      <c r="I25" s="1">
        <f>I4/SQRT(SUMSQ($I$4:$I$16))</f>
        <v>6.0294561296666334E-2</v>
      </c>
      <c r="J25" s="1">
        <f>J4/SQRT(SUMSQ($J$4:$J$16))</f>
        <v>6.0103886375441958E-2</v>
      </c>
      <c r="K25" s="1">
        <f>K4/SQRT(SUMSQ($K$4:$K$16))</f>
        <v>0.29204298874744428</v>
      </c>
      <c r="L25" s="1">
        <f>L4/SQRT(SUMSQ($L$4:$L$16))</f>
        <v>0.19856630851357721</v>
      </c>
      <c r="M25" s="14"/>
      <c r="N25"/>
      <c r="O25"/>
      <c r="P25"/>
      <c r="Q25"/>
    </row>
    <row r="26" spans="2:17" x14ac:dyDescent="0.45">
      <c r="B26" s="5" t="s">
        <v>11</v>
      </c>
      <c r="C26" s="1">
        <f>C5/SQRT(SUMSQ($C$4:$C$16))</f>
        <v>7.9979257189487035E-2</v>
      </c>
      <c r="D26" s="1">
        <f>D5/SQRT(SUMSQ($D$4:$D$16))</f>
        <v>9.5382545050698625E-2</v>
      </c>
      <c r="E26" s="1">
        <f>E5/SQRT(SUMSQ($E$4:$E$16))</f>
        <v>0.34931548702019105</v>
      </c>
      <c r="F26" s="1">
        <f>F5/SQRT(SUMSQ($F$4:$F$16))</f>
        <v>0.33846723732290335</v>
      </c>
      <c r="G26" s="1">
        <f>G5/SQRT(SUMSQ($G$4:$G$16))</f>
        <v>8.541615212973927E-2</v>
      </c>
      <c r="H26" s="1">
        <f>H5/SQRT(SUMSQ($H$4:$H$16))</f>
        <v>2.2464355627560504E-4</v>
      </c>
      <c r="I26" s="1">
        <f>I5/SQRT(SUMSQ($I$4:$I$16))</f>
        <v>-0.13377855787697843</v>
      </c>
      <c r="J26" s="1">
        <f>J5/SQRT(SUMSQ($J$4:$J$16))</f>
        <v>-0.13147725144627928</v>
      </c>
      <c r="K26" s="1">
        <f>K5/SQRT(SUMSQ($K$4:$K$16))</f>
        <v>-6.7438941814174022E-3</v>
      </c>
      <c r="L26" s="1">
        <f>L5/SQRT(SUMSQ($L$4:$L$16))</f>
        <v>-7.2205930368573534E-2</v>
      </c>
      <c r="M26" s="14"/>
      <c r="N26"/>
      <c r="O26"/>
      <c r="P26"/>
      <c r="Q26"/>
    </row>
    <row r="27" spans="2:17" x14ac:dyDescent="0.45">
      <c r="B27" s="5" t="s">
        <v>12</v>
      </c>
      <c r="C27" s="1">
        <f>C6/SQRT(SUMSQ($C$4:$C$16))</f>
        <v>0.13348199052128593</v>
      </c>
      <c r="D27" s="1">
        <f>D6/SQRT(SUMSQ($D$4:$D$16))</f>
        <v>9.81776379459572E-2</v>
      </c>
      <c r="E27" s="1">
        <f>E6/SQRT(SUMSQ($E$4:$E$16))</f>
        <v>0.33343751033745506</v>
      </c>
      <c r="F27" s="1">
        <f>F6/SQRT(SUMSQ($F$4:$F$16))</f>
        <v>0.2939155032938886</v>
      </c>
      <c r="G27" s="1">
        <f>G6/SQRT(SUMSQ($G$4:$G$16))</f>
        <v>0.48006321131954893</v>
      </c>
      <c r="H27" s="1">
        <f>H6/SQRT(SUMSQ($H$4:$H$16))</f>
        <v>3.5425541834735313E-2</v>
      </c>
      <c r="I27" s="1">
        <f>I6/SQRT(SUMSQ($I$4:$I$16))</f>
        <v>4.7105126013020575E-2</v>
      </c>
      <c r="J27" s="1">
        <f>J6/SQRT(SUMSQ($J$4:$J$16))</f>
        <v>4.6956161230814031E-2</v>
      </c>
      <c r="K27" s="1">
        <f>K6/SQRT(SUMSQ($K$4:$K$16))</f>
        <v>0.52041282619161799</v>
      </c>
      <c r="L27" s="1">
        <f>L6/SQRT(SUMSQ($L$4:$L$16))</f>
        <v>0.37186054139815367</v>
      </c>
      <c r="M27" s="14"/>
      <c r="N27"/>
      <c r="O27"/>
      <c r="P27"/>
      <c r="Q27"/>
    </row>
    <row r="28" spans="2:17" x14ac:dyDescent="0.45">
      <c r="B28" s="5" t="s">
        <v>13</v>
      </c>
      <c r="C28" s="1">
        <f>C7/SQRT(SUMSQ($C$4:$C$16))</f>
        <v>0.13696333275862901</v>
      </c>
      <c r="D28" s="1">
        <f>D7/SQRT(SUMSQ($D$4:$D$16))</f>
        <v>0.11203664021828094</v>
      </c>
      <c r="E28" s="1">
        <f>E7/SQRT(SUMSQ($E$4:$E$16))</f>
        <v>0.33394970313367234</v>
      </c>
      <c r="F28" s="1">
        <f>F7/SQRT(SUMSQ($F$4:$F$16))</f>
        <v>0.2947026364039419</v>
      </c>
      <c r="G28" s="1">
        <f>G7/SQRT(SUMSQ($G$4:$G$16))</f>
        <v>0.34466361516070348</v>
      </c>
      <c r="H28" s="1">
        <f>H7/SQRT(SUMSQ($H$4:$H$16))</f>
        <v>4.3901144623008752E-2</v>
      </c>
      <c r="I28" s="1">
        <f>I7/SQRT(SUMSQ($I$4:$I$16))</f>
        <v>2.8263075607812341E-2</v>
      </c>
      <c r="J28" s="1">
        <f>J7/SQRT(SUMSQ($J$4:$J$16))</f>
        <v>2.8173696738488414E-2</v>
      </c>
      <c r="K28" s="1">
        <f>K7/SQRT(SUMSQ($K$4:$K$16))</f>
        <v>0.35386561548733386</v>
      </c>
      <c r="L28" s="1">
        <f>L7/SQRT(SUMSQ($L$4:$L$16))</f>
        <v>0.15885304681086174</v>
      </c>
      <c r="M28" s="14"/>
      <c r="N28"/>
      <c r="O28"/>
      <c r="P28"/>
      <c r="Q28"/>
    </row>
    <row r="29" spans="2:17" x14ac:dyDescent="0.45">
      <c r="B29" s="5" t="s">
        <v>14</v>
      </c>
      <c r="C29" s="1">
        <f>C8/SQRT(SUMSQ($C$4:$C$16))</f>
        <v>0.21932456095261396</v>
      </c>
      <c r="D29" s="1">
        <f>D8/SQRT(SUMSQ($D$4:$D$16))</f>
        <v>0.19903390658320388</v>
      </c>
      <c r="E29" s="1">
        <f>E8/SQRT(SUMSQ($E$4:$E$16))</f>
        <v>0.37594951242349001</v>
      </c>
      <c r="F29" s="1">
        <f>F8/SQRT(SUMSQ($F$4:$F$16))</f>
        <v>0.43528460985945477</v>
      </c>
      <c r="G29" s="1">
        <f>G8/SQRT(SUMSQ($G$4:$G$16))</f>
        <v>6.0646578755315532E-2</v>
      </c>
      <c r="H29" s="1">
        <f>H8/SQRT(SUMSQ($H$4:$H$16))</f>
        <v>8.0747789246835477E-4</v>
      </c>
      <c r="I29" s="1">
        <f>I8/SQRT(SUMSQ($I$4:$I$16))</f>
        <v>0.33350429217218563</v>
      </c>
      <c r="J29" s="1">
        <f>J8/SQRT(SUMSQ($J$4:$J$16))</f>
        <v>0.3324496215141633</v>
      </c>
      <c r="K29" s="1">
        <f>K8/SQRT(SUMSQ($K$4:$K$16))</f>
        <v>3.5424327356149324E-2</v>
      </c>
      <c r="L29" s="1">
        <f>L8/SQRT(SUMSQ($L$4:$L$16))</f>
        <v>0.26716194236372204</v>
      </c>
      <c r="M29" s="14"/>
      <c r="N29"/>
      <c r="O29"/>
      <c r="P29"/>
      <c r="Q29"/>
    </row>
    <row r="30" spans="2:17" x14ac:dyDescent="0.45">
      <c r="B30" s="5" t="s">
        <v>16</v>
      </c>
      <c r="C30" s="1">
        <f>C9/SQRT(SUMSQ($C$4:$C$16))</f>
        <v>0.13183293367201818</v>
      </c>
      <c r="D30" s="1">
        <f>D9/SQRT(SUMSQ($D$4:$D$16))</f>
        <v>0.11797621262070539</v>
      </c>
      <c r="E30" s="1">
        <f>E9/SQRT(SUMSQ($E$4:$E$16))</f>
        <v>0.35546180057479843</v>
      </c>
      <c r="F30" s="1">
        <f>F9/SQRT(SUMSQ($F$4:$F$16))</f>
        <v>0.35783071183021364</v>
      </c>
      <c r="G30" s="1">
        <f>G9/SQRT(SUMSQ($G$4:$G$16))</f>
        <v>0.46973329955353366</v>
      </c>
      <c r="H30" s="1">
        <f>H9/SQRT(SUMSQ($H$4:$H$16))</f>
        <v>0.99823361300408753</v>
      </c>
      <c r="I30" s="1">
        <f>I9/SQRT(SUMSQ($I$4:$I$16))</f>
        <v>2.6378870567291521E-2</v>
      </c>
      <c r="J30" s="1">
        <f>J9/SQRT(SUMSQ($J$4:$J$16))</f>
        <v>2.6295450289255857E-2</v>
      </c>
      <c r="K30" s="1">
        <f>K9/SQRT(SUMSQ($K$4:$K$16))</f>
        <v>0.523434090784893</v>
      </c>
      <c r="L30" s="1">
        <f>L9/SQRT(SUMSQ($L$4:$L$16))</f>
        <v>0.22022808762414925</v>
      </c>
      <c r="M30" s="14"/>
      <c r="N30"/>
    </row>
    <row r="31" spans="2:17" x14ac:dyDescent="0.45">
      <c r="B31" s="5" t="s">
        <v>17</v>
      </c>
      <c r="C31" s="1">
        <f>C10/SQRT(SUMSQ($C$4:$C$16))</f>
        <v>4.3791620774999776E-2</v>
      </c>
      <c r="D31" s="1">
        <f>D10/SQRT(SUMSQ($D$4:$D$16))</f>
        <v>1.82845660231498E-2</v>
      </c>
      <c r="E31" s="1">
        <f>E10/SQRT(SUMSQ($E$4:$E$16))</f>
        <v>0.1055117160207615</v>
      </c>
      <c r="F31" s="1">
        <f>F10/SQRT(SUMSQ($F$4:$F$16))</f>
        <v>4.0773495100759054E-2</v>
      </c>
      <c r="G31" s="1">
        <f>G10/SQRT(SUMSQ($G$4:$G$16))</f>
        <v>0.4069763087169892</v>
      </c>
      <c r="H31" s="1">
        <f>H10/SQRT(SUMSQ($H$4:$H$16))</f>
        <v>1.7822997479854876E-4</v>
      </c>
      <c r="I31" s="1">
        <f>I10/SQRT(SUMSQ($I$4:$I$16))</f>
        <v>0.20160993933572804</v>
      </c>
      <c r="J31" s="1">
        <f>J10/SQRT(SUMSQ($J$4:$J$16))</f>
        <v>0.20097237006788404</v>
      </c>
      <c r="K31" s="1">
        <f>K10/SQRT(SUMSQ($K$4:$K$16))</f>
        <v>-0.12689311291754982</v>
      </c>
      <c r="L31" s="1">
        <f>L10/SQRT(SUMSQ($L$4:$L$16))</f>
        <v>0.13719126770028969</v>
      </c>
      <c r="M31" s="14"/>
      <c r="N31"/>
    </row>
    <row r="32" spans="2:17" x14ac:dyDescent="0.45">
      <c r="B32" s="5" t="s">
        <v>15</v>
      </c>
      <c r="C32" s="1">
        <f>C11/SQRT(SUMSQ($C$4:$C$16))</f>
        <v>0.11873209314727974</v>
      </c>
      <c r="D32" s="1">
        <f>D11/SQRT(SUMSQ($D$4:$D$16))</f>
        <v>9.922579778167917E-2</v>
      </c>
      <c r="E32" s="1">
        <f>E11/SQRT(SUMSQ($E$4:$E$16))</f>
        <v>0.38004705479322831</v>
      </c>
      <c r="F32" s="1">
        <f>F11/SQRT(SUMSQ($F$4:$F$16))</f>
        <v>0.4522866850366053</v>
      </c>
      <c r="G32" s="1">
        <f>G11/SQRT(SUMSQ($G$4:$G$16))</f>
        <v>0.29779025209340831</v>
      </c>
      <c r="H32" s="1">
        <f>H11/SQRT(SUMSQ($H$4:$H$16))</f>
        <v>1.5930015687718999E-2</v>
      </c>
      <c r="I32" s="1">
        <f>I11/SQRT(SUMSQ($I$4:$I$16))</f>
        <v>3.0147280648333167E-2</v>
      </c>
      <c r="J32" s="1">
        <f>J11/SQRT(SUMSQ($J$4:$J$16))</f>
        <v>3.0051943187720979E-2</v>
      </c>
      <c r="K32" s="1">
        <f>K11/SQRT(SUMSQ($K$4:$K$16))</f>
        <v>0.44337057906310567</v>
      </c>
      <c r="L32" s="1">
        <f>L11/SQRT(SUMSQ($L$4:$L$16))</f>
        <v>0.14441186073714707</v>
      </c>
      <c r="M32" s="14"/>
      <c r="N32"/>
    </row>
    <row r="33" spans="2:14" x14ac:dyDescent="0.45">
      <c r="B33" s="5" t="s">
        <v>18</v>
      </c>
      <c r="C33" s="1">
        <f>C12/SQRT(SUMSQ($C$4:$C$16))</f>
        <v>0.22253106038174572</v>
      </c>
      <c r="D33" s="1">
        <f>D12/SQRT(SUMSQ($D$4:$D$16))</f>
        <v>0.19530711605619244</v>
      </c>
      <c r="E33" s="1">
        <f>E12/SQRT(SUMSQ($E$4:$E$16))</f>
        <v>0.17926747867605108</v>
      </c>
      <c r="F33" s="1">
        <f>F12/SQRT(SUMSQ($F$4:$F$16))</f>
        <v>8.4695522641731164E-2</v>
      </c>
      <c r="G33" s="1">
        <f>G12/SQRT(SUMSQ($G$4:$G$16))</f>
        <v>0.1119629146251979</v>
      </c>
      <c r="H33" s="1">
        <f>H12/SQRT(SUMSQ($H$4:$H$16))</f>
        <v>1.320987919526581E-3</v>
      </c>
      <c r="I33" s="1">
        <f>I12/SQRT(SUMSQ($I$4:$I$16))</f>
        <v>0.25813609055135278</v>
      </c>
      <c r="J33" s="1">
        <f>J12/SQRT(SUMSQ($J$4:$J$16))</f>
        <v>0.25731976354486091</v>
      </c>
      <c r="K33" s="1">
        <f>K12/SQRT(SUMSQ($K$4:$K$16))</f>
        <v>6.4692828103500855E-2</v>
      </c>
      <c r="L33" s="1">
        <f>L12/SQRT(SUMSQ($L$4:$L$16))</f>
        <v>0.36825024487972496</v>
      </c>
      <c r="M33" s="14"/>
      <c r="N33"/>
    </row>
    <row r="34" spans="2:14" x14ac:dyDescent="0.45">
      <c r="B34" s="5" t="s">
        <v>19</v>
      </c>
      <c r="C34" s="1">
        <f>C13/SQRT(SUMSQ($C$4:$C$16))</f>
        <v>0.28519522065392117</v>
      </c>
      <c r="D34" s="1">
        <f>D13/SQRT(SUMSQ($D$4:$D$16))</f>
        <v>0.3604505212843862</v>
      </c>
      <c r="E34" s="1">
        <f>E13/SQRT(SUMSQ($E$4:$E$16))</f>
        <v>6.5560677915812979E-2</v>
      </c>
      <c r="F34" s="1">
        <f>F13/SQRT(SUMSQ($F$4:$F$16))</f>
        <v>2.3141713435565949E-2</v>
      </c>
      <c r="G34" s="1">
        <f>G13/SQRT(SUMSQ($G$4:$G$16))</f>
        <v>0.13206736655690507</v>
      </c>
      <c r="H34" s="1">
        <f>H13/SQRT(SUMSQ($H$4:$H$16))</f>
        <v>2.9574424389649297E-4</v>
      </c>
      <c r="I34" s="1">
        <f>I13/SQRT(SUMSQ($I$4:$I$16))</f>
        <v>-0.58787197264249669</v>
      </c>
      <c r="J34" s="1">
        <f>J13/SQRT(SUMSQ($J$4:$J$16))</f>
        <v>-0.58225639926209394</v>
      </c>
      <c r="K34" s="1">
        <f>K13/SQRT(SUMSQ($K$4:$K$16))</f>
        <v>6.616569459272241E-2</v>
      </c>
      <c r="L34" s="1">
        <f>L13/SQRT(SUMSQ($L$4:$L$16))</f>
        <v>-0.46933854739572795</v>
      </c>
    </row>
    <row r="35" spans="2:14" x14ac:dyDescent="0.45">
      <c r="B35" s="5" t="s">
        <v>20</v>
      </c>
      <c r="C35" s="1">
        <f>C14/SQRT(SUMSQ($C$4:$C$16))</f>
        <v>0.1651805277349887</v>
      </c>
      <c r="D35" s="1">
        <f>D14/SQRT(SUMSQ($D$4:$D$16))</f>
        <v>0.20730272306501046</v>
      </c>
      <c r="E35" s="1">
        <f>E14/SQRT(SUMSQ($E$4:$E$16))</f>
        <v>9.9877595262371333E-2</v>
      </c>
      <c r="F35" s="1">
        <f>F14/SQRT(SUMSQ($F$4:$F$16))</f>
        <v>3.8254669148588612E-2</v>
      </c>
      <c r="G35" s="1">
        <f>G14/SQRT(SUMSQ($G$4:$G$16))</f>
        <v>0.13040125175593484</v>
      </c>
      <c r="H35" s="1">
        <f>H14/SQRT(SUMSQ($H$4:$H$16))</f>
        <v>2.3056481789681928E-4</v>
      </c>
      <c r="I35" s="1">
        <f>I14/SQRT(SUMSQ($I$4:$I$16))</f>
        <v>-0.59352458776405925</v>
      </c>
      <c r="J35" s="1">
        <f>J14/SQRT(SUMSQ($J$4:$J$16))</f>
        <v>-0.60103886375441962</v>
      </c>
      <c r="K35" s="1">
        <f>K14/SQRT(SUMSQ($K$4:$K$16))</f>
        <v>9.951290254099518E-2</v>
      </c>
      <c r="L35" s="1">
        <f>L14/SQRT(SUMSQ($L$4:$L$16))</f>
        <v>-0.39713261702715441</v>
      </c>
    </row>
    <row r="36" spans="2:14" x14ac:dyDescent="0.45">
      <c r="B36" s="5" t="s">
        <v>21</v>
      </c>
      <c r="C36" s="1">
        <f>C15/SQRT(SUMSQ($C$4:$C$16))</f>
        <v>0.19083252316804297</v>
      </c>
      <c r="D36" s="1">
        <f>D15/SQRT(SUMSQ($D$4:$D$16))</f>
        <v>0.22582021349609849</v>
      </c>
      <c r="E36" s="1">
        <f>E15/SQRT(SUMSQ($E$4:$E$16))</f>
        <v>0.20180396170961182</v>
      </c>
      <c r="F36" s="1">
        <f>F15/SQRT(SUMSQ($F$4:$F$16))</f>
        <v>0.10248473092893493</v>
      </c>
      <c r="G36" s="1">
        <f>G15/SQRT(SUMSQ($G$4:$G$16))</f>
        <v>7.4086571483141864E-2</v>
      </c>
      <c r="H36" s="1">
        <f>H15/SQRT(SUMSQ($H$4:$H$16))</f>
        <v>9.2198598258937494E-4</v>
      </c>
      <c r="I36" s="1">
        <f>I15/SQRT(SUMSQ($I$4:$I$16))</f>
        <v>0.2204519897409363</v>
      </c>
      <c r="J36" s="1">
        <f>J15/SQRT(SUMSQ($J$4:$J$16))</f>
        <v>0.21975483456020967</v>
      </c>
      <c r="K36" s="1">
        <f>K15/SQRT(SUMSQ($K$4:$K$16))</f>
        <v>4.849129672206369E-2</v>
      </c>
      <c r="L36" s="1">
        <f>L15/SQRT(SUMSQ($L$4:$L$16))</f>
        <v>0.2130074945872919</v>
      </c>
    </row>
    <row r="37" spans="2:14" x14ac:dyDescent="0.45">
      <c r="B37" s="5" t="s">
        <v>22</v>
      </c>
      <c r="C37" s="1">
        <f>C16/SQRT(SUMSQ($C$4:$C$16))</f>
        <v>0.81619152611814449</v>
      </c>
      <c r="D37" s="1">
        <f>D16/SQRT(SUMSQ($D$4:$D$16))</f>
        <v>0.78996312952245284</v>
      </c>
      <c r="E37" s="1">
        <f>E16/SQRT(SUMSQ($E$4:$E$16))</f>
        <v>9.0145932134242837E-2</v>
      </c>
      <c r="F37" s="1">
        <f>F16/SQRT(SUMSQ($F$4:$F$16))</f>
        <v>3.3531870488269028E-2</v>
      </c>
      <c r="G37" s="1">
        <f>G16/SQRT(SUMSQ($G$4:$G$16))</f>
        <v>0.25958068599115824</v>
      </c>
      <c r="H37" s="1">
        <f>H16/SQRT(SUMSQ($H$4:$H$16))</f>
        <v>1.9690472298853215E-3</v>
      </c>
      <c r="I37" s="1">
        <f>I16/SQRT(SUMSQ($I$4:$I$16))</f>
        <v>9.421025202604115E-2</v>
      </c>
      <c r="J37" s="1">
        <f>J16/SQRT(SUMSQ($J$4:$J$16))</f>
        <v>9.3912322461628062E-2</v>
      </c>
      <c r="K37" s="1">
        <f>K16/SQRT(SUMSQ($K$4:$K$16))</f>
        <v>9.9399605118747375E-2</v>
      </c>
      <c r="L37" s="1">
        <f>L16/SQRT(SUMSQ($L$4:$L$16))</f>
        <v>0.27077223888215074</v>
      </c>
    </row>
    <row r="39" spans="2:14" x14ac:dyDescent="0.45">
      <c r="C39" s="22" t="s">
        <v>25</v>
      </c>
      <c r="D39" s="22"/>
      <c r="E39" s="22"/>
      <c r="F39" s="22"/>
      <c r="G39" s="22"/>
      <c r="H39" s="22"/>
      <c r="I39" s="22"/>
      <c r="J39" s="22"/>
      <c r="K39" s="22"/>
      <c r="L39" s="22"/>
    </row>
    <row r="40" spans="2:14" x14ac:dyDescent="0.45">
      <c r="B40" s="1"/>
      <c r="C40" s="5" t="s">
        <v>0</v>
      </c>
      <c r="D40" s="5" t="s">
        <v>1</v>
      </c>
      <c r="E40" s="5" t="s">
        <v>2</v>
      </c>
      <c r="F40" s="5" t="s">
        <v>3</v>
      </c>
      <c r="G40" s="5" t="s">
        <v>4</v>
      </c>
      <c r="H40" s="5" t="s">
        <v>5</v>
      </c>
      <c r="I40" s="5" t="s">
        <v>6</v>
      </c>
      <c r="J40" s="5" t="s">
        <v>7</v>
      </c>
      <c r="K40" s="5" t="s">
        <v>8</v>
      </c>
      <c r="L40" s="5" t="s">
        <v>9</v>
      </c>
    </row>
    <row r="41" spans="2:14" x14ac:dyDescent="0.45">
      <c r="B41" s="5" t="s">
        <v>10</v>
      </c>
      <c r="C41" s="1">
        <f t="shared" ref="C41:L41" si="0">C25*C$18</f>
        <v>1.2166374976820023E-2</v>
      </c>
      <c r="D41" s="1">
        <f t="shared" si="0"/>
        <v>1.3754186288751538E-2</v>
      </c>
      <c r="E41" s="1">
        <f t="shared" si="0"/>
        <v>3.6980319886888255E-2</v>
      </c>
      <c r="F41" s="1">
        <f t="shared" si="0"/>
        <v>4.0946664384970771E-2</v>
      </c>
      <c r="G41" s="1">
        <f t="shared" si="0"/>
        <v>2.1204087700347499E-2</v>
      </c>
      <c r="H41" s="1">
        <f t="shared" si="0"/>
        <v>9.2877265937061282E-4</v>
      </c>
      <c r="I41" s="1">
        <f t="shared" si="0"/>
        <v>6.0294561296666341E-3</v>
      </c>
      <c r="J41" s="1">
        <f t="shared" si="0"/>
        <v>6.0103886375441964E-3</v>
      </c>
      <c r="K41" s="1">
        <f t="shared" si="0"/>
        <v>2.920429887474443E-2</v>
      </c>
      <c r="L41" s="1">
        <f t="shared" si="0"/>
        <v>1.9856630851357721E-2</v>
      </c>
    </row>
    <row r="42" spans="2:14" x14ac:dyDescent="0.45">
      <c r="B42" s="5" t="s">
        <v>11</v>
      </c>
      <c r="C42" s="1">
        <f t="shared" ref="C42:L42" si="1">C26*C$18</f>
        <v>7.9979257189487039E-3</v>
      </c>
      <c r="D42" s="1">
        <f t="shared" si="1"/>
        <v>9.5382545050698639E-3</v>
      </c>
      <c r="E42" s="1">
        <f t="shared" si="1"/>
        <v>3.4931548702019109E-2</v>
      </c>
      <c r="F42" s="1">
        <f t="shared" si="1"/>
        <v>3.3846723732290335E-2</v>
      </c>
      <c r="G42" s="1">
        <f t="shared" si="1"/>
        <v>8.5416152129739274E-3</v>
      </c>
      <c r="H42" s="1">
        <f t="shared" si="1"/>
        <v>2.2464355627560505E-5</v>
      </c>
      <c r="I42" s="1">
        <f t="shared" si="1"/>
        <v>-1.3377855787697844E-2</v>
      </c>
      <c r="J42" s="1">
        <f t="shared" si="1"/>
        <v>-1.3147725144627928E-2</v>
      </c>
      <c r="K42" s="1">
        <f t="shared" si="1"/>
        <v>-6.7438941814174026E-4</v>
      </c>
      <c r="L42" s="1">
        <f t="shared" si="1"/>
        <v>-7.220593036857354E-3</v>
      </c>
    </row>
    <row r="43" spans="2:14" x14ac:dyDescent="0.45">
      <c r="B43" s="5" t="s">
        <v>12</v>
      </c>
      <c r="C43" s="1">
        <f t="shared" ref="C43:L43" si="2">C27*C$18</f>
        <v>1.3348199052128593E-2</v>
      </c>
      <c r="D43" s="1">
        <f t="shared" si="2"/>
        <v>9.817763794595721E-3</v>
      </c>
      <c r="E43" s="1">
        <f t="shared" si="2"/>
        <v>3.3343751033745504E-2</v>
      </c>
      <c r="F43" s="1">
        <f t="shared" si="2"/>
        <v>2.9391550329388862E-2</v>
      </c>
      <c r="G43" s="1">
        <f t="shared" si="2"/>
        <v>4.8006321131954896E-2</v>
      </c>
      <c r="H43" s="1">
        <f t="shared" si="2"/>
        <v>3.5425541834735313E-3</v>
      </c>
      <c r="I43" s="1">
        <f t="shared" si="2"/>
        <v>4.7105126013020577E-3</v>
      </c>
      <c r="J43" s="1">
        <f t="shared" si="2"/>
        <v>4.6956161230814033E-3</v>
      </c>
      <c r="K43" s="1">
        <f t="shared" si="2"/>
        <v>5.2041282619161799E-2</v>
      </c>
      <c r="L43" s="1">
        <f t="shared" si="2"/>
        <v>3.7186054139815371E-2</v>
      </c>
    </row>
    <row r="44" spans="2:14" x14ac:dyDescent="0.45">
      <c r="B44" s="5" t="s">
        <v>13</v>
      </c>
      <c r="C44" s="1">
        <f t="shared" ref="C44:L44" si="3">C28*C$18</f>
        <v>1.3696333275862902E-2</v>
      </c>
      <c r="D44" s="1">
        <f t="shared" si="3"/>
        <v>1.1203664021828095E-2</v>
      </c>
      <c r="E44" s="1">
        <f t="shared" si="3"/>
        <v>3.3394970313367238E-2</v>
      </c>
      <c r="F44" s="1">
        <f t="shared" si="3"/>
        <v>2.9470263640394193E-2</v>
      </c>
      <c r="G44" s="1">
        <f t="shared" si="3"/>
        <v>3.4466361516070347E-2</v>
      </c>
      <c r="H44" s="1">
        <f t="shared" si="3"/>
        <v>4.3901144623008752E-3</v>
      </c>
      <c r="I44" s="1">
        <f t="shared" si="3"/>
        <v>2.8263075607812341E-3</v>
      </c>
      <c r="J44" s="1">
        <f t="shared" si="3"/>
        <v>2.8173696738488414E-3</v>
      </c>
      <c r="K44" s="1">
        <f t="shared" si="3"/>
        <v>3.5386561548733389E-2</v>
      </c>
      <c r="L44" s="1">
        <f t="shared" si="3"/>
        <v>1.5885304681086173E-2</v>
      </c>
    </row>
    <row r="45" spans="2:14" x14ac:dyDescent="0.45">
      <c r="B45" s="5" t="s">
        <v>14</v>
      </c>
      <c r="C45" s="1">
        <f t="shared" ref="C45:L45" si="4">C29*C$18</f>
        <v>2.1932456095261399E-2</v>
      </c>
      <c r="D45" s="1">
        <f t="shared" si="4"/>
        <v>1.9903390658320391E-2</v>
      </c>
      <c r="E45" s="1">
        <f t="shared" si="4"/>
        <v>3.7594951242349003E-2</v>
      </c>
      <c r="F45" s="1">
        <f t="shared" si="4"/>
        <v>4.3528460985945483E-2</v>
      </c>
      <c r="G45" s="1">
        <f t="shared" si="4"/>
        <v>6.0646578755315537E-3</v>
      </c>
      <c r="H45" s="1">
        <f t="shared" si="4"/>
        <v>8.074778924683548E-5</v>
      </c>
      <c r="I45" s="1">
        <f t="shared" si="4"/>
        <v>3.3350429217218563E-2</v>
      </c>
      <c r="J45" s="1">
        <f t="shared" si="4"/>
        <v>3.3244962151416334E-2</v>
      </c>
      <c r="K45" s="1">
        <f t="shared" si="4"/>
        <v>3.5424327356149326E-3</v>
      </c>
      <c r="L45" s="1">
        <f t="shared" si="4"/>
        <v>2.6716194236372205E-2</v>
      </c>
    </row>
    <row r="46" spans="2:14" x14ac:dyDescent="0.45">
      <c r="B46" s="5" t="s">
        <v>16</v>
      </c>
      <c r="C46" s="1">
        <f t="shared" ref="C46:L46" si="5">C30*C$18</f>
        <v>1.3183293367201818E-2</v>
      </c>
      <c r="D46" s="1">
        <f t="shared" si="5"/>
        <v>1.179762126207054E-2</v>
      </c>
      <c r="E46" s="1">
        <f t="shared" si="5"/>
        <v>3.5546180057479844E-2</v>
      </c>
      <c r="F46" s="1">
        <f t="shared" si="5"/>
        <v>3.5783071183021369E-2</v>
      </c>
      <c r="G46" s="1">
        <f t="shared" si="5"/>
        <v>4.6973329955353367E-2</v>
      </c>
      <c r="H46" s="1">
        <f t="shared" si="5"/>
        <v>9.9823361300408753E-2</v>
      </c>
      <c r="I46" s="1">
        <f t="shared" si="5"/>
        <v>2.6378870567291524E-3</v>
      </c>
      <c r="J46" s="1">
        <f t="shared" si="5"/>
        <v>2.6295450289255859E-3</v>
      </c>
      <c r="K46" s="1">
        <f t="shared" si="5"/>
        <v>5.2343409078489306E-2</v>
      </c>
      <c r="L46" s="1">
        <f t="shared" si="5"/>
        <v>2.2022808762414928E-2</v>
      </c>
    </row>
    <row r="47" spans="2:14" x14ac:dyDescent="0.45">
      <c r="B47" s="5" t="s">
        <v>17</v>
      </c>
      <c r="C47" s="1">
        <f t="shared" ref="C47:L47" si="6">C31*C$18</f>
        <v>4.3791620774999776E-3</v>
      </c>
      <c r="D47" s="1">
        <f t="shared" si="6"/>
        <v>1.82845660231498E-3</v>
      </c>
      <c r="E47" s="1">
        <f t="shared" si="6"/>
        <v>1.0551171602076151E-2</v>
      </c>
      <c r="F47" s="1">
        <f t="shared" si="6"/>
        <v>4.0773495100759052E-3</v>
      </c>
      <c r="G47" s="1">
        <f t="shared" si="6"/>
        <v>4.069763087169892E-2</v>
      </c>
      <c r="H47" s="1">
        <f t="shared" si="6"/>
        <v>1.7822997479854875E-5</v>
      </c>
      <c r="I47" s="1">
        <f t="shared" si="6"/>
        <v>2.0160993933572804E-2</v>
      </c>
      <c r="J47" s="1">
        <f t="shared" si="6"/>
        <v>2.0097237006788407E-2</v>
      </c>
      <c r="K47" s="1">
        <f t="shared" si="6"/>
        <v>-1.2689311291754983E-2</v>
      </c>
      <c r="L47" s="1">
        <f t="shared" si="6"/>
        <v>1.3719126770028969E-2</v>
      </c>
    </row>
    <row r="48" spans="2:14" x14ac:dyDescent="0.45">
      <c r="B48" s="5" t="s">
        <v>15</v>
      </c>
      <c r="C48" s="1">
        <f t="shared" ref="C48:L48" si="7">C32*C$18</f>
        <v>1.1873209314727975E-2</v>
      </c>
      <c r="D48" s="1">
        <f t="shared" si="7"/>
        <v>9.9225797781679181E-3</v>
      </c>
      <c r="E48" s="1">
        <f t="shared" si="7"/>
        <v>3.8004705479322831E-2</v>
      </c>
      <c r="F48" s="1">
        <f t="shared" si="7"/>
        <v>4.522866850366053E-2</v>
      </c>
      <c r="G48" s="1">
        <f t="shared" si="7"/>
        <v>2.9779025209340833E-2</v>
      </c>
      <c r="H48" s="1">
        <f t="shared" si="7"/>
        <v>1.5930015687718999E-3</v>
      </c>
      <c r="I48" s="1">
        <f t="shared" si="7"/>
        <v>3.014728064833317E-3</v>
      </c>
      <c r="J48" s="1">
        <f t="shared" si="7"/>
        <v>3.0051943187720982E-3</v>
      </c>
      <c r="K48" s="1">
        <f t="shared" si="7"/>
        <v>4.4337057906310567E-2</v>
      </c>
      <c r="L48" s="1">
        <f t="shared" si="7"/>
        <v>1.4441186073714708E-2</v>
      </c>
    </row>
    <row r="49" spans="2:24" x14ac:dyDescent="0.45">
      <c r="B49" s="5" t="s">
        <v>18</v>
      </c>
      <c r="C49" s="1">
        <f t="shared" ref="C49:L49" si="8">C33*C$18</f>
        <v>2.2253106038174573E-2</v>
      </c>
      <c r="D49" s="1">
        <f t="shared" si="8"/>
        <v>1.9530711605619245E-2</v>
      </c>
      <c r="E49" s="1">
        <f t="shared" si="8"/>
        <v>1.7926747867605109E-2</v>
      </c>
      <c r="F49" s="1">
        <f t="shared" si="8"/>
        <v>8.4695522641731174E-3</v>
      </c>
      <c r="G49" s="1">
        <f t="shared" si="8"/>
        <v>1.119629146251979E-2</v>
      </c>
      <c r="H49" s="1">
        <f t="shared" si="8"/>
        <v>1.3209879195265811E-4</v>
      </c>
      <c r="I49" s="1">
        <f t="shared" si="8"/>
        <v>2.581360905513528E-2</v>
      </c>
      <c r="J49" s="1">
        <f t="shared" si="8"/>
        <v>2.5731976354486093E-2</v>
      </c>
      <c r="K49" s="1">
        <f t="shared" si="8"/>
        <v>6.4692828103500855E-3</v>
      </c>
      <c r="L49" s="1">
        <f t="shared" si="8"/>
        <v>3.6825024487972501E-2</v>
      </c>
    </row>
    <row r="50" spans="2:24" x14ac:dyDescent="0.45">
      <c r="B50" s="5" t="s">
        <v>19</v>
      </c>
      <c r="C50" s="1">
        <f t="shared" ref="C50:L50" si="9">C34*C$18</f>
        <v>2.8519522065392117E-2</v>
      </c>
      <c r="D50" s="1">
        <f t="shared" si="9"/>
        <v>3.6045052128438622E-2</v>
      </c>
      <c r="E50" s="1">
        <f t="shared" si="9"/>
        <v>6.5560677915812984E-3</v>
      </c>
      <c r="F50" s="1">
        <f t="shared" si="9"/>
        <v>2.3141713435565949E-3</v>
      </c>
      <c r="G50" s="1">
        <f t="shared" si="9"/>
        <v>1.3206736655690507E-2</v>
      </c>
      <c r="H50" s="1">
        <f t="shared" si="9"/>
        <v>2.9574424389649299E-5</v>
      </c>
      <c r="I50" s="1">
        <f t="shared" si="9"/>
        <v>-5.878719726424967E-2</v>
      </c>
      <c r="J50" s="1">
        <f t="shared" si="9"/>
        <v>-5.8225639926209397E-2</v>
      </c>
      <c r="K50" s="1">
        <f t="shared" si="9"/>
        <v>6.616569459272241E-3</v>
      </c>
      <c r="L50" s="1">
        <f t="shared" si="9"/>
        <v>-4.6933854739572796E-2</v>
      </c>
    </row>
    <row r="51" spans="2:24" x14ac:dyDescent="0.45">
      <c r="B51" s="5" t="s">
        <v>20</v>
      </c>
      <c r="C51" s="1">
        <f t="shared" ref="C51:L51" si="10">C35*C$18</f>
        <v>1.6518052773498871E-2</v>
      </c>
      <c r="D51" s="1">
        <f t="shared" si="10"/>
        <v>2.0730272306501048E-2</v>
      </c>
      <c r="E51" s="1">
        <f t="shared" si="10"/>
        <v>9.9877595262371343E-3</v>
      </c>
      <c r="F51" s="1">
        <f t="shared" si="10"/>
        <v>3.8254669148588614E-3</v>
      </c>
      <c r="G51" s="1">
        <f t="shared" si="10"/>
        <v>1.3040125175593484E-2</v>
      </c>
      <c r="H51" s="1">
        <f t="shared" si="10"/>
        <v>2.3056481789681929E-5</v>
      </c>
      <c r="I51" s="1">
        <f t="shared" si="10"/>
        <v>-5.9352458776405929E-2</v>
      </c>
      <c r="J51" s="1">
        <f t="shared" si="10"/>
        <v>-6.0103886375441964E-2</v>
      </c>
      <c r="K51" s="1">
        <f t="shared" si="10"/>
        <v>9.951290254099519E-3</v>
      </c>
      <c r="L51" s="1">
        <f t="shared" si="10"/>
        <v>-3.9713261702715441E-2</v>
      </c>
    </row>
    <row r="52" spans="2:24" x14ac:dyDescent="0.45">
      <c r="B52" s="5" t="s">
        <v>21</v>
      </c>
      <c r="C52" s="1">
        <f t="shared" ref="C52:L52" si="11">C36*C$18</f>
        <v>1.90832523168043E-2</v>
      </c>
      <c r="D52" s="1">
        <f t="shared" si="11"/>
        <v>2.2582021349609849E-2</v>
      </c>
      <c r="E52" s="1">
        <f t="shared" si="11"/>
        <v>2.0180396170961182E-2</v>
      </c>
      <c r="F52" s="1">
        <f t="shared" si="11"/>
        <v>1.0248473092893493E-2</v>
      </c>
      <c r="G52" s="1">
        <f t="shared" si="11"/>
        <v>7.4086571483141864E-3</v>
      </c>
      <c r="H52" s="1">
        <f t="shared" si="11"/>
        <v>9.2198598258937494E-5</v>
      </c>
      <c r="I52" s="1">
        <f t="shared" si="11"/>
        <v>2.2045198974093631E-2</v>
      </c>
      <c r="J52" s="1">
        <f t="shared" si="11"/>
        <v>2.1975483456020968E-2</v>
      </c>
      <c r="K52" s="1">
        <f t="shared" si="11"/>
        <v>4.8491296722063693E-3</v>
      </c>
      <c r="L52" s="1">
        <f t="shared" si="11"/>
        <v>2.1300749458729191E-2</v>
      </c>
    </row>
    <row r="53" spans="2:24" x14ac:dyDescent="0.45">
      <c r="B53" s="5" t="s">
        <v>22</v>
      </c>
      <c r="C53" s="1">
        <f t="shared" ref="C53:L53" si="12">C37*C$18</f>
        <v>8.1619152611814461E-2</v>
      </c>
      <c r="D53" s="1">
        <f t="shared" si="12"/>
        <v>7.8996312952245296E-2</v>
      </c>
      <c r="E53" s="1">
        <f t="shared" si="12"/>
        <v>9.0145932134242848E-3</v>
      </c>
      <c r="F53" s="1">
        <f t="shared" si="12"/>
        <v>3.3531870488269031E-3</v>
      </c>
      <c r="G53" s="1">
        <f t="shared" si="12"/>
        <v>2.5958068599115827E-2</v>
      </c>
      <c r="H53" s="1">
        <f t="shared" si="12"/>
        <v>1.9690472298853216E-4</v>
      </c>
      <c r="I53" s="1">
        <f t="shared" si="12"/>
        <v>9.4210252026041153E-3</v>
      </c>
      <c r="J53" s="1">
        <f t="shared" si="12"/>
        <v>9.3912322461628065E-3</v>
      </c>
      <c r="K53" s="1">
        <f t="shared" si="12"/>
        <v>9.9399605118747382E-3</v>
      </c>
      <c r="L53" s="1">
        <f t="shared" si="12"/>
        <v>2.7077223888215075E-2</v>
      </c>
    </row>
    <row r="55" spans="2:24" x14ac:dyDescent="0.45">
      <c r="C55" s="22" t="s">
        <v>31</v>
      </c>
      <c r="D55" s="22"/>
      <c r="E55" s="22"/>
      <c r="F55" s="22"/>
      <c r="G55" s="22"/>
      <c r="H55" s="22"/>
      <c r="I55" s="22"/>
      <c r="J55" s="22"/>
      <c r="K55" s="22"/>
      <c r="L55" s="22"/>
    </row>
    <row r="56" spans="2:24" x14ac:dyDescent="0.45">
      <c r="C56" s="7" t="s">
        <v>0</v>
      </c>
      <c r="D56" s="7" t="s">
        <v>1</v>
      </c>
      <c r="E56" s="7" t="s">
        <v>2</v>
      </c>
      <c r="F56" s="7" t="s">
        <v>3</v>
      </c>
      <c r="G56" s="7" t="s">
        <v>4</v>
      </c>
      <c r="H56" s="7" t="s">
        <v>5</v>
      </c>
      <c r="I56" s="7" t="s">
        <v>6</v>
      </c>
      <c r="J56" s="7" t="s">
        <v>7</v>
      </c>
      <c r="K56" s="7" t="s">
        <v>8</v>
      </c>
      <c r="L56" s="7" t="s">
        <v>9</v>
      </c>
    </row>
    <row r="57" spans="2:24" x14ac:dyDescent="0.45">
      <c r="B57" s="8" t="s">
        <v>26</v>
      </c>
      <c r="C57" s="1">
        <f>IF(C$17=1,MAX(C$41:C$53),MIN(C$41:C$53))</f>
        <v>8.1619152611814461E-2</v>
      </c>
      <c r="D57" s="1">
        <f>IF(D$17=1,MAX(D$41:D$53),MIN(D$41:D$53))</f>
        <v>7.8996312952245296E-2</v>
      </c>
      <c r="E57" s="1">
        <f>IF(E$17=1,MAX(E$41:E$53),MIN(E$41:E$53))</f>
        <v>6.5560677915812984E-3</v>
      </c>
      <c r="F57" s="1">
        <f>IF(F$17=1,MAX(F$41:F$53),MIN(F$41:F$53))</f>
        <v>2.3141713435565949E-3</v>
      </c>
      <c r="G57" s="1">
        <f>IF(G$17=1,MAX(G$41:G$53),MIN(G$41:G$53))</f>
        <v>4.8006321131954896E-2</v>
      </c>
      <c r="H57" s="1">
        <f>IF(H$17=1,MAX(H$41:H$53),MIN(H$41:H$53))</f>
        <v>9.9823361300408753E-2</v>
      </c>
      <c r="I57" s="1">
        <f>IF(I$17=1,MAX(I$41:I$53),MIN(I$41:I$53))</f>
        <v>3.3350429217218563E-2</v>
      </c>
      <c r="J57" s="1">
        <f>IF(J$17=1,MAX(J$41:J$53),MIN(J$41:J$53))</f>
        <v>3.3244962151416334E-2</v>
      </c>
      <c r="K57" s="1">
        <f>IF(K$17=1,MAX(K$41:K$53),MIN(K$41:K$53))</f>
        <v>5.2343409078489306E-2</v>
      </c>
      <c r="L57" s="1">
        <f>IF(L$17=1,MAX(L$41:L$53),MIN(L$41:L$53))</f>
        <v>3.7186054139815371E-2</v>
      </c>
    </row>
    <row r="58" spans="2:24" x14ac:dyDescent="0.45">
      <c r="B58" s="9" t="s">
        <v>27</v>
      </c>
      <c r="C58" s="1">
        <f>IF(C$17=1,MIN(C$41:C$53),MAX(C$41:C$53))</f>
        <v>4.3791620774999776E-3</v>
      </c>
      <c r="D58" s="1">
        <f>IF(D$17=1,MIN(D$41:D$53),MAX(D$41:D$53))</f>
        <v>1.82845660231498E-3</v>
      </c>
      <c r="E58" s="1">
        <f>IF(E$17=1,MIN(E$41:E$53),MAX(E$41:E$53))</f>
        <v>3.8004705479322831E-2</v>
      </c>
      <c r="F58" s="1">
        <f>IF(F$17=1,MIN(F$41:F$53),MAX(F$41:F$53))</f>
        <v>4.522866850366053E-2</v>
      </c>
      <c r="G58" s="1">
        <f>IF(G$17=1,MIN(G$41:G$53),MAX(G$41:G$53))</f>
        <v>6.0646578755315537E-3</v>
      </c>
      <c r="H58" s="1">
        <f>IF(H$17=1,MIN(H$41:H$53),MAX(H$41:H$53))</f>
        <v>1.7822997479854875E-5</v>
      </c>
      <c r="I58" s="1">
        <f>IF(I$17=1,MIN(I$41:I$53),MAX(I$41:I$53))</f>
        <v>-5.9352458776405929E-2</v>
      </c>
      <c r="J58" s="1">
        <f>IF(J$17=1,MIN(J$41:J$53),MAX(J$41:J$53))</f>
        <v>-6.0103886375441964E-2</v>
      </c>
      <c r="K58" s="1">
        <f>IF(K$17=1,MIN(K$41:K$53),MAX(K$41:K$53))</f>
        <v>-1.2689311291754983E-2</v>
      </c>
      <c r="L58" s="1">
        <f>IF(L$17=1,MIN(L$41:L$53),MAX(L$41:L$53))</f>
        <v>-4.6933854739572796E-2</v>
      </c>
    </row>
    <row r="61" spans="2:24" x14ac:dyDescent="0.45">
      <c r="C61" s="22" t="s">
        <v>30</v>
      </c>
      <c r="D61" s="22"/>
      <c r="E61" s="22"/>
      <c r="F61" s="22"/>
      <c r="G61" s="22"/>
      <c r="H61" s="22"/>
      <c r="I61" s="22"/>
      <c r="J61" s="22"/>
      <c r="K61" s="22"/>
      <c r="L61" s="22"/>
      <c r="O61" s="22" t="s">
        <v>35</v>
      </c>
      <c r="P61" s="22"/>
      <c r="Q61" s="22"/>
      <c r="R61" s="22"/>
      <c r="S61" s="22"/>
      <c r="T61" s="22"/>
      <c r="U61" s="22"/>
      <c r="V61" s="22"/>
      <c r="W61" s="22"/>
      <c r="X61" s="22"/>
    </row>
    <row r="62" spans="2:24" x14ac:dyDescent="0.45">
      <c r="C62" s="28"/>
      <c r="D62" s="28"/>
      <c r="E62" s="28"/>
      <c r="F62" s="28"/>
      <c r="G62" s="28"/>
      <c r="H62" s="28"/>
      <c r="I62" s="28"/>
      <c r="J62" s="28"/>
      <c r="K62" s="28"/>
      <c r="L62" s="28"/>
      <c r="O62" s="28"/>
      <c r="P62" s="28"/>
      <c r="Q62" s="28"/>
      <c r="R62" s="28"/>
      <c r="S62" s="28"/>
      <c r="T62" s="28"/>
      <c r="U62" s="28"/>
      <c r="V62" s="28"/>
      <c r="W62" s="28"/>
      <c r="X62" s="28"/>
    </row>
    <row r="63" spans="2:24" x14ac:dyDescent="0.45">
      <c r="C63" s="28"/>
      <c r="D63" s="28"/>
      <c r="E63" s="28"/>
      <c r="F63" s="28"/>
      <c r="G63" s="28"/>
      <c r="H63" s="28"/>
      <c r="I63" s="28"/>
      <c r="J63" s="28"/>
      <c r="K63" s="28"/>
      <c r="L63" s="28"/>
      <c r="O63" s="28"/>
      <c r="P63" s="28"/>
      <c r="Q63" s="28"/>
      <c r="R63" s="28"/>
      <c r="S63" s="28"/>
      <c r="T63" s="28"/>
      <c r="U63" s="28"/>
      <c r="V63" s="28"/>
      <c r="W63" s="28"/>
      <c r="X63" s="28"/>
    </row>
    <row r="64" spans="2:24" x14ac:dyDescent="0.45">
      <c r="B64" s="1"/>
      <c r="C64" s="5" t="s">
        <v>0</v>
      </c>
      <c r="D64" s="5" t="s">
        <v>1</v>
      </c>
      <c r="E64" s="5" t="s">
        <v>2</v>
      </c>
      <c r="F64" s="5" t="s">
        <v>3</v>
      </c>
      <c r="G64" s="5" t="s">
        <v>4</v>
      </c>
      <c r="H64" s="5" t="s">
        <v>5</v>
      </c>
      <c r="I64" s="5" t="s">
        <v>6</v>
      </c>
      <c r="J64" s="5" t="s">
        <v>7</v>
      </c>
      <c r="K64" s="5" t="s">
        <v>8</v>
      </c>
      <c r="L64" s="5" t="s">
        <v>9</v>
      </c>
      <c r="N64" s="1"/>
      <c r="O64" s="5" t="s">
        <v>0</v>
      </c>
      <c r="P64" s="5" t="s">
        <v>1</v>
      </c>
      <c r="Q64" s="5" t="s">
        <v>2</v>
      </c>
      <c r="R64" s="5" t="s">
        <v>3</v>
      </c>
      <c r="S64" s="5" t="s">
        <v>4</v>
      </c>
      <c r="T64" s="5" t="s">
        <v>5</v>
      </c>
      <c r="U64" s="5" t="s">
        <v>6</v>
      </c>
      <c r="V64" s="5" t="s">
        <v>7</v>
      </c>
      <c r="W64" s="5" t="s">
        <v>8</v>
      </c>
      <c r="X64" s="5" t="s">
        <v>9</v>
      </c>
    </row>
    <row r="65" spans="2:24" x14ac:dyDescent="0.45">
      <c r="B65" s="5" t="s">
        <v>10</v>
      </c>
      <c r="C65" s="1">
        <f>POWER((C41-C$57),2)</f>
        <v>4.823688321215984E-3</v>
      </c>
      <c r="D65" s="1">
        <f>POWER((D41-D$57),2)</f>
        <v>4.2565350915753633E-3</v>
      </c>
      <c r="E65" s="1">
        <f>POWER((E41-E$57),2)</f>
        <v>9.2563511555878971E-4</v>
      </c>
      <c r="F65" s="1">
        <f>POWER((F41-F$57),2)</f>
        <v>1.4924695185949146E-3</v>
      </c>
      <c r="G65" s="1">
        <f>POWER((G41-G$57),2)</f>
        <v>7.1835971692237326E-4</v>
      </c>
      <c r="H65" s="1">
        <f>POWER((H41-H$57),2)</f>
        <v>9.7801396624801508E-3</v>
      </c>
      <c r="I65" s="1">
        <f>POWER((I41-I$57),2)</f>
        <v>7.4643557045073682E-4</v>
      </c>
      <c r="J65" s="1">
        <f>POWER((J41-J$57),2)</f>
        <v>7.4172199448250577E-4</v>
      </c>
      <c r="K65" s="1">
        <f>POWER((K41-K$57),2)</f>
        <v>5.3541842102105023E-4</v>
      </c>
      <c r="L65" s="1">
        <f>POWER((L41-L$57),2)</f>
        <v>3.0030891151053838E-4</v>
      </c>
      <c r="N65" s="5" t="s">
        <v>10</v>
      </c>
      <c r="O65" s="1">
        <f>POWER((C41-C$58),2)</f>
        <v>6.0640684739336509E-5</v>
      </c>
      <c r="P65" s="1">
        <f>POWER((D41-D$58),2)</f>
        <v>1.422230285539542E-4</v>
      </c>
      <c r="Q65" s="1">
        <f>POWER((E41-E$58),2)</f>
        <v>1.0493658419875379E-6</v>
      </c>
      <c r="R65" s="1">
        <f>POWER((F41-F$58),2)</f>
        <v>1.8335559272476054E-5</v>
      </c>
      <c r="S65" s="1">
        <f>POWER((G41-G$58),2)</f>
        <v>2.2920233542052652E-4</v>
      </c>
      <c r="T65" s="1">
        <f>POWER((H41-H$58),2)</f>
        <v>8.2982928649888612E-7</v>
      </c>
      <c r="U65" s="1">
        <f>POWER((I41-I$58),2)</f>
        <v>4.2747947967849134E-3</v>
      </c>
      <c r="V65" s="1">
        <f>POWER((J41-J$58),2)</f>
        <v>4.3710973604927667E-3</v>
      </c>
      <c r="W65" s="1">
        <f>POWER((K41-K$58),2)</f>
        <v>1.7550745727826227E-3</v>
      </c>
      <c r="X65" s="1">
        <f>POWER((L41-L$58),2)</f>
        <v>4.4609689654722959E-3</v>
      </c>
    </row>
    <row r="66" spans="2:24" x14ac:dyDescent="0.45">
      <c r="B66" s="5" t="s">
        <v>11</v>
      </c>
      <c r="C66" s="1">
        <f>POWER((C42-C$57),2)</f>
        <v>5.4200850492108193E-3</v>
      </c>
      <c r="D66" s="1">
        <f>POWER((D42-D$57),2)</f>
        <v>4.8244218832512375E-3</v>
      </c>
      <c r="E66" s="1">
        <f>POWER((E42-E$57),2)</f>
        <v>8.0516791689862058E-4</v>
      </c>
      <c r="F66" s="1">
        <f>POWER((F42-F$57),2)</f>
        <v>9.9430186014823774E-4</v>
      </c>
      <c r="G66" s="1">
        <f>POWER((G42-G$57),2)</f>
        <v>1.5574630132716516E-3</v>
      </c>
      <c r="H66" s="1">
        <f>POWER((H42-H$57),2)</f>
        <v>9.9602190309828371E-3</v>
      </c>
      <c r="I66" s="1">
        <f>POWER((I42-I$57),2)</f>
        <v>2.1835326195006957E-3</v>
      </c>
      <c r="J66" s="1">
        <f>POWER((J42-J$57),2)</f>
        <v>2.1522814345485467E-3</v>
      </c>
      <c r="K66" s="1">
        <f>POWER((K42-K$57),2)</f>
        <v>2.8108869574293735E-3</v>
      </c>
      <c r="L66" s="1">
        <f>POWER((L42-L$57),2)</f>
        <v>1.971950313473496E-3</v>
      </c>
      <c r="N66" s="5" t="s">
        <v>11</v>
      </c>
      <c r="O66" s="1">
        <f>POWER((C42-C$58),2)</f>
        <v>1.3095450292671246E-5</v>
      </c>
      <c r="P66" s="1">
        <f>POWER((D42-D$58),2)</f>
        <v>5.9440983701323605E-5</v>
      </c>
      <c r="Q66" s="1">
        <f>POWER((E42-E$58),2)</f>
        <v>9.4442925778877981E-6</v>
      </c>
      <c r="R66" s="1">
        <f>POWER((F42-F$58),2)</f>
        <v>1.2954866677852131E-4</v>
      </c>
      <c r="S66" s="1">
        <f>POWER((G42-G$58),2)</f>
        <v>6.1353176515096124E-6</v>
      </c>
      <c r="T66" s="1">
        <f>POWER((H42-H$58),2)</f>
        <v>2.1542205455273437E-11</v>
      </c>
      <c r="U66" s="1">
        <f>POWER((I42-I$58),2)</f>
        <v>2.1136641199693265E-3</v>
      </c>
      <c r="V66" s="1">
        <f>POWER((J42-J$58),2)</f>
        <v>2.2048810775342031E-3</v>
      </c>
      <c r="W66" s="1">
        <f>POWER((K42-K$58),2)</f>
        <v>1.4435834762902995E-4</v>
      </c>
      <c r="X66" s="1">
        <f>POWER((L42-L$58),2)</f>
        <v>1.5771431550683649E-3</v>
      </c>
    </row>
    <row r="67" spans="2:24" x14ac:dyDescent="0.45">
      <c r="B67" s="5" t="s">
        <v>12</v>
      </c>
      <c r="C67" s="1">
        <f>POWER((C43-C$57),2)</f>
        <v>4.6609230999487836E-3</v>
      </c>
      <c r="D67" s="1">
        <f>POWER((D43-D$57),2)</f>
        <v>4.7856716635573393E-3</v>
      </c>
      <c r="E67" s="1">
        <f>POWER((E43-E$57),2)</f>
        <v>7.1757997348252493E-4</v>
      </c>
      <c r="F67" s="1">
        <f>POWER((F43-F$57),2)</f>
        <v>7.33184452742391E-4</v>
      </c>
      <c r="G67" s="1">
        <f>POWER((G43-G$57),2)</f>
        <v>0</v>
      </c>
      <c r="H67" s="1">
        <f>POWER((H43-H$57),2)</f>
        <v>9.2699938190884835E-3</v>
      </c>
      <c r="I67" s="1">
        <f>POWER((I43-I$57),2)</f>
        <v>8.2024482376665041E-4</v>
      </c>
      <c r="J67" s="1">
        <f>POWER((J43-J$57),2)</f>
        <v>8.1506515864560351E-4</v>
      </c>
      <c r="K67" s="1">
        <f>POWER((K43-K$57),2)</f>
        <v>9.1280397425775357E-8</v>
      </c>
      <c r="L67" s="1">
        <f>POWER((L43-L$57),2)</f>
        <v>0</v>
      </c>
      <c r="N67" s="5" t="s">
        <v>12</v>
      </c>
      <c r="O67" s="1">
        <f>POWER((C43-C$58),2)</f>
        <v>8.0443624252255223E-5</v>
      </c>
      <c r="P67" s="1">
        <f>POWER((D43-D$58),2)</f>
        <v>6.3829029412628774E-5</v>
      </c>
      <c r="Q67" s="1">
        <f>POWER((E43-E$58),2)</f>
        <v>2.1724496343747048E-5</v>
      </c>
      <c r="R67" s="1">
        <f>POWER((F43-F$58),2)</f>
        <v>2.5081431206584596E-4</v>
      </c>
      <c r="S67" s="1">
        <f>POWER((G43-G$58),2)</f>
        <v>1.7591031167152121E-3</v>
      </c>
      <c r="T67" s="1">
        <f>POWER((H43-H$58),2)</f>
        <v>1.2423729933516389E-5</v>
      </c>
      <c r="U67" s="1">
        <f>POWER((I43-I$58),2)</f>
        <v>4.1040643017410325E-3</v>
      </c>
      <c r="V67" s="1">
        <f>POWER((J43-J$58),2)</f>
        <v>4.1989755240561368E-3</v>
      </c>
      <c r="W67" s="1">
        <f>POWER((K43-K$58),2)</f>
        <v>4.1900497880600178E-3</v>
      </c>
      <c r="X67" s="1">
        <f>POWER((L43-L$58),2)</f>
        <v>7.0761590698765683E-3</v>
      </c>
    </row>
    <row r="68" spans="2:24" x14ac:dyDescent="0.45">
      <c r="B68" s="5" t="s">
        <v>13</v>
      </c>
      <c r="C68" s="1">
        <f>POWER((C44-C$57),2)</f>
        <v>4.6135093865443139E-3</v>
      </c>
      <c r="D68" s="1">
        <f>POWER((D44-D$57),2)</f>
        <v>4.5958432490027963E-3</v>
      </c>
      <c r="E68" s="1">
        <f>POWER((E44-E$57),2)</f>
        <v>7.2032668857392767E-4</v>
      </c>
      <c r="F68" s="1">
        <f>POWER((F44-F$57),2)</f>
        <v>7.3745334883436222E-4</v>
      </c>
      <c r="G68" s="1">
        <f>POWER((G44-G$57),2)</f>
        <v>1.8333050639978446E-4</v>
      </c>
      <c r="H68" s="1">
        <f>POWER((H44-H$57),2)</f>
        <v>9.1075046020632263E-3</v>
      </c>
      <c r="I68" s="1">
        <f>POWER((I44-I$57),2)</f>
        <v>9.3172200289698642E-4</v>
      </c>
      <c r="J68" s="1">
        <f>POWER((J44-J$57),2)</f>
        <v>9.2583838398092183E-4</v>
      </c>
      <c r="K68" s="1">
        <f>POWER((K44-K$57),2)</f>
        <v>2.8753467814738936E-4</v>
      </c>
      <c r="L68" s="1">
        <f>POWER((L44-L$57),2)</f>
        <v>4.5372192750355223E-4</v>
      </c>
      <c r="N68" s="5" t="s">
        <v>13</v>
      </c>
      <c r="O68" s="1">
        <f>POWER((C44-C$58),2)</f>
        <v>8.6809679139603606E-5</v>
      </c>
      <c r="P68" s="1">
        <f>POWER((D44-D$58),2)</f>
        <v>8.789451415889376E-5</v>
      </c>
      <c r="Q68" s="1">
        <f>POWER((E44-E$58),2)</f>
        <v>2.1249658300247639E-5</v>
      </c>
      <c r="R68" s="1">
        <f>POWER((F44-F$58),2)</f>
        <v>2.4832732383461614E-4</v>
      </c>
      <c r="S68" s="1">
        <f>POWER((G44-G$58),2)</f>
        <v>8.0665676968499445E-4</v>
      </c>
      <c r="T68" s="1">
        <f>POWER((H44-H$58),2)</f>
        <v>1.9116932653346745E-5</v>
      </c>
      <c r="U68" s="1">
        <f>POWER((I44-I$58),2)</f>
        <v>3.8661989832145197E-3</v>
      </c>
      <c r="V68" s="1">
        <f>POWER((J44-J$58),2)</f>
        <v>3.9590844628204147E-3</v>
      </c>
      <c r="W68" s="1">
        <f>POWER((K44-K$58),2)</f>
        <v>2.3112895493748076E-3</v>
      </c>
      <c r="X68" s="1">
        <f>POWER((L44-L$58),2)</f>
        <v>3.9462467903181664E-3</v>
      </c>
    </row>
    <row r="69" spans="2:24" x14ac:dyDescent="0.45">
      <c r="B69" s="5" t="s">
        <v>14</v>
      </c>
      <c r="C69" s="1">
        <f>POWER((C45-C$57),2)</f>
        <v>3.5625017410591073E-3</v>
      </c>
      <c r="D69" s="1">
        <f>POWER((D45-D$57),2)</f>
        <v>3.491973465235847E-3</v>
      </c>
      <c r="E69" s="1">
        <f>POWER((E45-E$57),2)</f>
        <v>9.6341228587034126E-4</v>
      </c>
      <c r="F69" s="1">
        <f>POWER((F45-F$57),2)</f>
        <v>1.6986176707267239E-3</v>
      </c>
      <c r="G69" s="1">
        <f>POWER((G45-G$57),2)</f>
        <v>1.7591031167152121E-3</v>
      </c>
      <c r="H69" s="1">
        <f>POWER((H45-H$57),2)</f>
        <v>9.9485889500370191E-3</v>
      </c>
      <c r="I69" s="1">
        <f>POWER((I45-I$57),2)</f>
        <v>0</v>
      </c>
      <c r="J69" s="1">
        <f>POWER((J45-J$57),2)</f>
        <v>0</v>
      </c>
      <c r="K69" s="1">
        <f>POWER((K45-K$57),2)</f>
        <v>2.3815352920177838E-3</v>
      </c>
      <c r="L69" s="1">
        <f>POWER((L45-L$57),2)</f>
        <v>1.0961796639772693E-4</v>
      </c>
      <c r="N69" s="5" t="s">
        <v>14</v>
      </c>
      <c r="O69" s="1">
        <f>POWER((C45-C$58),2)</f>
        <v>3.0811813087397888E-4</v>
      </c>
      <c r="P69" s="1">
        <f>POWER((D45-D$58),2)</f>
        <v>3.2670324112894414E-4</v>
      </c>
      <c r="Q69" s="1">
        <f>POWER((E45-E$58),2)</f>
        <v>1.6789853471800377E-7</v>
      </c>
      <c r="R69" s="1">
        <f>POWER((F45-F$58),2)</f>
        <v>2.8907056032947605E-6</v>
      </c>
      <c r="S69" s="1">
        <f>POWER((G45-G$58),2)</f>
        <v>0</v>
      </c>
      <c r="T69" s="1">
        <f>POWER((H45-H$58),2)</f>
        <v>3.9595294189178697E-9</v>
      </c>
      <c r="U69" s="1">
        <f>POWER((I45-I$58),2)</f>
        <v>8.5938254423584895E-3</v>
      </c>
      <c r="V69" s="1">
        <f>POWER((J45-J$58),2)</f>
        <v>8.7140075212903331E-3</v>
      </c>
      <c r="W69" s="1">
        <f>POWER((K45-K$58),2)</f>
        <v>2.6346951417005891E-4</v>
      </c>
      <c r="X69" s="1">
        <f>POWER((L45-L$58),2)</f>
        <v>5.4243297141590976E-3</v>
      </c>
    </row>
    <row r="70" spans="2:24" x14ac:dyDescent="0.45">
      <c r="B70" s="5" t="s">
        <v>16</v>
      </c>
      <c r="C70" s="1">
        <f>POWER((C46-C$57),2)</f>
        <v>4.6834668305484328E-3</v>
      </c>
      <c r="D70" s="1">
        <f>POWER((D46-D$57),2)</f>
        <v>4.5156641648711618E-3</v>
      </c>
      <c r="E70" s="1">
        <f>POWER((E46-E$57),2)</f>
        <v>8.404266091894012E-4</v>
      </c>
      <c r="F70" s="1">
        <f>POWER((F46-F$57),2)</f>
        <v>1.1201672564641249E-3</v>
      </c>
      <c r="G70" s="1">
        <f>POWER((G46-G$57),2)</f>
        <v>1.0670707709366113E-6</v>
      </c>
      <c r="H70" s="1">
        <f>POWER((H46-H$57),2)</f>
        <v>0</v>
      </c>
      <c r="I70" s="1">
        <f>POWER((I46-I$57),2)</f>
        <v>9.4326024595983965E-4</v>
      </c>
      <c r="J70" s="1">
        <f>POWER((J46-J$57),2)</f>
        <v>9.373037655840997E-4</v>
      </c>
      <c r="K70" s="1">
        <f>POWER((K46-K$57),2)</f>
        <v>0</v>
      </c>
      <c r="L70" s="1">
        <f>POWER((L46-L$57),2)</f>
        <v>2.2992401037525591E-4</v>
      </c>
      <c r="N70" s="5" t="s">
        <v>16</v>
      </c>
      <c r="O70" s="1">
        <f>POWER((C46-C$58),2)</f>
        <v>7.7512727766306988E-5</v>
      </c>
      <c r="P70" s="1">
        <f>POWER((D46-D$58),2)</f>
        <v>9.938424401331919E-5</v>
      </c>
      <c r="Q70" s="1">
        <f>POWER((E46-E$58),2)</f>
        <v>6.0443472498482379E-6</v>
      </c>
      <c r="R70" s="1">
        <f>POWER((F46-F$58),2)</f>
        <v>8.9219308743665698E-5</v>
      </c>
      <c r="S70" s="1">
        <f>POWER((G46-G$58),2)</f>
        <v>1.6735194513343931E-3</v>
      </c>
      <c r="T70" s="1">
        <f>POWER((H46-H$58),2)</f>
        <v>9.9611454759374086E-3</v>
      </c>
      <c r="U70" s="1">
        <f>POWER((I46-I$58),2)</f>
        <v>3.8428029765116881E-3</v>
      </c>
      <c r="V70" s="1">
        <f>POWER((J46-J$58),2)</f>
        <v>3.9354834157664881E-3</v>
      </c>
      <c r="W70" s="1">
        <f>POWER((K46-K$58),2)</f>
        <v>4.2292547187543876E-3</v>
      </c>
      <c r="X70" s="1">
        <f>POWER((L46-L$58),2)</f>
        <v>4.7550214413263668E-3</v>
      </c>
    </row>
    <row r="71" spans="2:24" x14ac:dyDescent="0.45">
      <c r="B71" s="5" t="s">
        <v>17</v>
      </c>
      <c r="C71" s="1">
        <f>POWER((C47-C$57),2)</f>
        <v>5.9660161377409924E-3</v>
      </c>
      <c r="D71" s="1">
        <f>POWER((D47-D$57),2)</f>
        <v>5.9548780536434805E-3</v>
      </c>
      <c r="E71" s="1">
        <f>POWER((E47-E$57),2)</f>
        <v>1.5960854456630491E-5</v>
      </c>
      <c r="F71" s="1">
        <f>POWER((F47-F$57),2)</f>
        <v>3.1087972468903965E-6</v>
      </c>
      <c r="G71" s="1">
        <f>POWER((G47-G$57),2)</f>
        <v>5.3416953320360571E-5</v>
      </c>
      <c r="H71" s="1">
        <f>POWER((H47-H$57),2)</f>
        <v>9.9611454759374086E-3</v>
      </c>
      <c r="I71" s="1">
        <f>POWER((I47-I$57),2)</f>
        <v>1.7396120310147968E-4</v>
      </c>
      <c r="J71" s="1">
        <f>POWER((J47-J$57),2)</f>
        <v>1.7286267647868145E-4</v>
      </c>
      <c r="K71" s="1">
        <f>POWER((K47-K$57),2)</f>
        <v>4.2292547187543876E-3</v>
      </c>
      <c r="L71" s="1">
        <f>POWER((L47-L$57),2)</f>
        <v>5.5069668017883008E-4</v>
      </c>
      <c r="N71" s="5" t="s">
        <v>17</v>
      </c>
      <c r="O71" s="1">
        <f>POWER((C47-C$58),2)</f>
        <v>0</v>
      </c>
      <c r="P71" s="1">
        <f>POWER((D47-D$58),2)</f>
        <v>0</v>
      </c>
      <c r="Q71" s="1">
        <f>POWER((E47-E$58),2)</f>
        <v>7.5369652234913117E-4</v>
      </c>
      <c r="R71" s="1">
        <f>POWER((F47-F$58),2)</f>
        <v>1.6934310549117585E-3</v>
      </c>
      <c r="S71" s="1">
        <f>POWER((G47-G$58),2)</f>
        <v>1.1994428185532582E-3</v>
      </c>
      <c r="T71" s="1">
        <f>POWER((H47-H$58),2)</f>
        <v>0</v>
      </c>
      <c r="U71" s="1">
        <f>POWER((I47-I$58),2)</f>
        <v>6.3223891618620232E-3</v>
      </c>
      <c r="V71" s="1">
        <f>POWER((J47-J$58),2)</f>
        <v>6.4322201917717389E-3</v>
      </c>
      <c r="W71" s="1">
        <f>POWER((K47-K$58),2)</f>
        <v>0</v>
      </c>
      <c r="X71" s="1">
        <f>POWER((L47-L$58),2)</f>
        <v>3.6787841660040938E-3</v>
      </c>
    </row>
    <row r="72" spans="2:24" x14ac:dyDescent="0.45">
      <c r="B72" s="5" t="s">
        <v>15</v>
      </c>
      <c r="C72" s="1">
        <f>POWER((C48-C$57),2)</f>
        <v>4.8644966064004033E-3</v>
      </c>
      <c r="D72" s="1">
        <f>POWER((D48-D$57),2)</f>
        <v>4.7711806146036378E-3</v>
      </c>
      <c r="E72" s="1">
        <f>POWER((E48-E$57),2)</f>
        <v>9.8901681241483712E-4</v>
      </c>
      <c r="F72" s="1">
        <f>POWER((F48-F$57),2)</f>
        <v>1.8416540665045684E-3</v>
      </c>
      <c r="G72" s="1">
        <f>POWER((G48-G$57),2)</f>
        <v>3.3223431665054323E-4</v>
      </c>
      <c r="H72" s="1">
        <f>POWER((H48-H$57),2)</f>
        <v>9.6492035730067829E-3</v>
      </c>
      <c r="I72" s="1">
        <f>POWER((I48-I$57),2)</f>
        <v>9.2025476440682756E-4</v>
      </c>
      <c r="J72" s="1">
        <f>POWER((J48-J$57),2)</f>
        <v>9.1444355857222507E-4</v>
      </c>
      <c r="K72" s="1">
        <f>POWER((K48-K$57),2)</f>
        <v>6.4101659092247862E-5</v>
      </c>
      <c r="L72" s="1">
        <f>POWER((L48-L$57),2)</f>
        <v>5.1732902334432568E-4</v>
      </c>
      <c r="N72" s="5" t="s">
        <v>15</v>
      </c>
      <c r="O72" s="1">
        <f>POWER((C48-C$58),2)</f>
        <v>5.616074399380459E-5</v>
      </c>
      <c r="P72" s="1">
        <f>POWER((D48-D$58),2)</f>
        <v>6.5514829985879649E-5</v>
      </c>
      <c r="Q72" s="1">
        <f>POWER((E48-E$58),2)</f>
        <v>0</v>
      </c>
      <c r="R72" s="1">
        <f>POWER((F48-F$58),2)</f>
        <v>0</v>
      </c>
      <c r="S72" s="1">
        <f>POWER((G48-G$58),2)</f>
        <v>5.6237121804284061E-4</v>
      </c>
      <c r="T72" s="1">
        <f>POWER((H48-H$58),2)</f>
        <v>2.4811875314576483E-6</v>
      </c>
      <c r="U72" s="1">
        <f>POWER((I48-I$58),2)</f>
        <v>3.8896659944900464E-3</v>
      </c>
      <c r="V72" s="1">
        <f>POWER((J48-J$58),2)</f>
        <v>3.9827560660688219E-3</v>
      </c>
      <c r="W72" s="1">
        <f>POWER((K48-K$58),2)</f>
        <v>3.2520067839140795E-3</v>
      </c>
      <c r="X72" s="1">
        <f>POWER((L48-L$58),2)</f>
        <v>3.7668956348327069E-3</v>
      </c>
    </row>
    <row r="73" spans="2:24" x14ac:dyDescent="0.45">
      <c r="B73" s="5" t="s">
        <v>18</v>
      </c>
      <c r="C73" s="1">
        <f>POWER((C49-C$57),2)</f>
        <v>3.5243274857835807E-3</v>
      </c>
      <c r="D73" s="1">
        <f>POWER((D49-D$57),2)</f>
        <v>3.5361577435158542E-3</v>
      </c>
      <c r="E73" s="1">
        <f>POWER((E49-E$57),2)</f>
        <v>1.2929236539128484E-4</v>
      </c>
      <c r="F73" s="1">
        <f>POWER((F49-F$57),2)</f>
        <v>3.7888714277889908E-5</v>
      </c>
      <c r="G73" s="1">
        <f>POWER((G49-G$57),2)</f>
        <v>1.3549782842646927E-3</v>
      </c>
      <c r="H73" s="1">
        <f>POWER((H49-H$57),2)</f>
        <v>9.9383478205299046E-3</v>
      </c>
      <c r="I73" s="1">
        <f>POWER((I49-I$57),2)</f>
        <v>5.6803658155585097E-5</v>
      </c>
      <c r="J73" s="1">
        <f>POWER((J49-J$57),2)</f>
        <v>5.6444955584875521E-5</v>
      </c>
      <c r="K73" s="1">
        <f>POWER((K49-K$57),2)</f>
        <v>2.1044354608651806E-3</v>
      </c>
      <c r="L73" s="1">
        <f>POWER((L49-L$57),2)</f>
        <v>1.3034240950978404E-7</v>
      </c>
      <c r="N73" s="5" t="s">
        <v>18</v>
      </c>
      <c r="O73" s="1">
        <f>POWER((C49-C$58),2)</f>
        <v>3.1947787270933582E-4</v>
      </c>
      <c r="P73" s="1">
        <f>POWER((D49-D$58),2)</f>
        <v>3.1336983220201094E-4</v>
      </c>
      <c r="Q73" s="1">
        <f>POWER((E49-E$58),2)</f>
        <v>4.031243818579336E-4</v>
      </c>
      <c r="R73" s="1">
        <f>POWER((F49-F$58),2)</f>
        <v>1.3512326267081471E-3</v>
      </c>
      <c r="S73" s="1">
        <f>POWER((G49-G$58),2)</f>
        <v>2.6333663271105757E-5</v>
      </c>
      <c r="T73" s="1">
        <f>POWER((H49-H$58),2)</f>
        <v>1.3058957202390366E-8</v>
      </c>
      <c r="U73" s="1">
        <f>POWER((I49-I$58),2)</f>
        <v>7.2532591098866785E-3</v>
      </c>
      <c r="V73" s="1">
        <f>POWER((J49-J$58),2)</f>
        <v>7.3677953305910536E-3</v>
      </c>
      <c r="W73" s="1">
        <f>POWER((K49-K$58),2)</f>
        <v>3.6705172796921509E-4</v>
      </c>
      <c r="X73" s="1">
        <f>POWER((L49-L$58),2)</f>
        <v>7.0155498494545191E-3</v>
      </c>
    </row>
    <row r="74" spans="2:24" x14ac:dyDescent="0.45">
      <c r="B74" s="5" t="s">
        <v>19</v>
      </c>
      <c r="C74" s="1">
        <f>POWER((C50-C$57),2)</f>
        <v>2.819570764166549E-3</v>
      </c>
      <c r="D74" s="1">
        <f>POWER((D50-D$57),2)</f>
        <v>1.84481080635467E-3</v>
      </c>
      <c r="E74" s="1">
        <f>POWER((E50-E$57),2)</f>
        <v>0</v>
      </c>
      <c r="F74" s="1">
        <f>POWER((F50-F$57),2)</f>
        <v>0</v>
      </c>
      <c r="G74" s="1">
        <f>POWER((G50-G$57),2)</f>
        <v>1.2110110797206616E-3</v>
      </c>
      <c r="H74" s="1">
        <f>POWER((H50-H$57),2)</f>
        <v>9.9587998990563215E-3</v>
      </c>
      <c r="I74" s="1">
        <f>POWER((I50-I$57),2)</f>
        <v>8.4893422136385552E-3</v>
      </c>
      <c r="J74" s="1">
        <f>POWER((J50-J$57),2)</f>
        <v>8.366871044443348E-3</v>
      </c>
      <c r="K74" s="1">
        <f>POWER((K50-K$57),2)</f>
        <v>2.0909438615615995E-3</v>
      </c>
      <c r="L74" s="1">
        <f>POWER((L50-L$57),2)</f>
        <v>7.0761590698765683E-3</v>
      </c>
      <c r="N74" s="5" t="s">
        <v>19</v>
      </c>
      <c r="O74" s="1">
        <f>POWER((C50-C$58),2)</f>
        <v>5.8275698034502383E-4</v>
      </c>
      <c r="P74" s="1">
        <f>POWER((D50-D$58),2)</f>
        <v>1.1707754093983442E-3</v>
      </c>
      <c r="Q74" s="1">
        <f>POWER((E50-E$58),2)</f>
        <v>9.8901681241483712E-4</v>
      </c>
      <c r="R74" s="1">
        <f>POWER((F50-F$58),2)</f>
        <v>1.8416540665045684E-3</v>
      </c>
      <c r="S74" s="1">
        <f>POWER((G50-G$58),2)</f>
        <v>5.1009289301996807E-5</v>
      </c>
      <c r="T74" s="1">
        <f>POWER((H50-H$58),2)</f>
        <v>1.3809603441624053E-10</v>
      </c>
      <c r="U74" s="1">
        <f>POWER((I50-I$58),2)</f>
        <v>3.195205771251809E-7</v>
      </c>
      <c r="V74" s="1">
        <f>POWER((J50-J$58),2)</f>
        <v>3.5278097240547493E-6</v>
      </c>
      <c r="W74" s="1">
        <f>POWER((K50-K$58),2)</f>
        <v>3.7271703157288347E-4</v>
      </c>
      <c r="X74" s="1">
        <f>POWER((L50-L$58),2)</f>
        <v>0</v>
      </c>
    </row>
    <row r="75" spans="2:24" x14ac:dyDescent="0.45">
      <c r="B75" s="5" t="s">
        <v>20</v>
      </c>
      <c r="C75" s="1">
        <f>POWER((C51-C$57),2)</f>
        <v>4.2381532001583349E-3</v>
      </c>
      <c r="D75" s="1">
        <f>POWER((D51-D$57),2)</f>
        <v>3.3949314925315207E-3</v>
      </c>
      <c r="E75" s="1">
        <f>POWER((E51-E$57),2)</f>
        <v>1.177650816170518E-5</v>
      </c>
      <c r="F75" s="1">
        <f>POWER((F51-F$57),2)</f>
        <v>2.2840143038378443E-6</v>
      </c>
      <c r="G75" s="1">
        <f>POWER((G51-G$57),2)</f>
        <v>1.2226348596586652E-3</v>
      </c>
      <c r="H75" s="1">
        <f>POWER((H51-H$57),2)</f>
        <v>9.96010084188928E-3</v>
      </c>
      <c r="I75" s="1">
        <f>POWER((I51-I$57),2)</f>
        <v>8.5938254423584895E-3</v>
      </c>
      <c r="J75" s="1">
        <f>POWER((J51-J$57),2)</f>
        <v>8.7140075212903331E-3</v>
      </c>
      <c r="K75" s="1">
        <f>POWER((K51-K$57),2)</f>
        <v>1.7970917384211827E-3</v>
      </c>
      <c r="L75" s="1">
        <f>POWER((L51-L$57),2)</f>
        <v>5.9135047770493112E-3</v>
      </c>
      <c r="N75" s="5" t="s">
        <v>20</v>
      </c>
      <c r="O75" s="1">
        <f>POWER((C51-C$58),2)</f>
        <v>1.4735266732940851E-4</v>
      </c>
      <c r="P75" s="1">
        <f>POWER((D51-D$58),2)</f>
        <v>3.5727863691501497E-4</v>
      </c>
      <c r="Q75" s="1">
        <f>POWER((E51-E$58),2)</f>
        <v>7.8494926053812488E-4</v>
      </c>
      <c r="R75" s="1">
        <f>POWER((F51-F$58),2)</f>
        <v>1.7142251018029489E-3</v>
      </c>
      <c r="S75" s="1">
        <f>POWER((G51-G$58),2)</f>
        <v>4.8657144054233276E-5</v>
      </c>
      <c r="T75" s="1">
        <f>POWER((H51-H$58),2)</f>
        <v>2.7389358021205951E-11</v>
      </c>
      <c r="U75" s="1">
        <f>POWER((I51-I$58),2)</f>
        <v>0</v>
      </c>
      <c r="V75" s="1">
        <f>POWER((J51-J$58),2)</f>
        <v>0</v>
      </c>
      <c r="W75" s="1">
        <f>POWER((K51-K$58),2)</f>
        <v>5.1259683835814932E-4</v>
      </c>
      <c r="X75" s="1">
        <f>POWER((L51-L$58),2)</f>
        <v>5.2136963803912917E-5</v>
      </c>
    </row>
    <row r="76" spans="2:24" x14ac:dyDescent="0.45">
      <c r="B76" s="5" t="s">
        <v>21</v>
      </c>
      <c r="C76" s="1">
        <f>POWER((C52-C$57),2)</f>
        <v>3.9107388257074516E-3</v>
      </c>
      <c r="D76" s="1">
        <f>POWER((D52-D$57),2)</f>
        <v>3.1825722970271844E-3</v>
      </c>
      <c r="E76" s="1">
        <f>POWER((E52-E$57),2)</f>
        <v>1.8562232378917609E-4</v>
      </c>
      <c r="F76" s="1">
        <f>POWER((F52-F$57),2)</f>
        <v>6.2953144249530552E-5</v>
      </c>
      <c r="G76" s="1">
        <f>POWER((G52-G$57),2)</f>
        <v>1.6481703209285979E-3</v>
      </c>
      <c r="H76" s="1">
        <f>POWER((H52-H$57),2)</f>
        <v>9.9463048139226771E-3</v>
      </c>
      <c r="I76" s="1">
        <f>POWER((I52-I$57),2)</f>
        <v>1.2780823085006664E-4</v>
      </c>
      <c r="J76" s="1">
        <f>POWER((J52-J$57),2)</f>
        <v>1.2700115006597003E-4</v>
      </c>
      <c r="K76" s="1">
        <f>POWER((K52-K$57),2)</f>
        <v>2.2557065763220718E-3</v>
      </c>
      <c r="L76" s="1">
        <f>POWER((L52-L$57),2)</f>
        <v>2.5234290481093849E-4</v>
      </c>
      <c r="N76" s="5" t="s">
        <v>21</v>
      </c>
      <c r="O76" s="1">
        <f>POWER((C52-C$58),2)</f>
        <v>2.1621026976560465E-4</v>
      </c>
      <c r="P76" s="1">
        <f>POWER((D52-D$58),2)</f>
        <v>4.3071044972016026E-4</v>
      </c>
      <c r="Q76" s="1">
        <f>POWER((E52-E$58),2)</f>
        <v>3.1770600232014772E-4</v>
      </c>
      <c r="R76" s="1">
        <f>POWER((F52-F$58),2)</f>
        <v>1.2236140709754473E-3</v>
      </c>
      <c r="S76" s="1">
        <f>POWER((G52-G$58),2)</f>
        <v>1.8063340452402453E-6</v>
      </c>
      <c r="T76" s="1">
        <f>POWER((H52-H$58),2)</f>
        <v>5.531729991249475E-9</v>
      </c>
      <c r="U76" s="1">
        <f>POWER((I52-I$58),2)</f>
        <v>6.6255786872674617E-3</v>
      </c>
      <c r="V76" s="1">
        <f>POWER((J52-J$58),2)</f>
        <v>6.7370229519300683E-3</v>
      </c>
      <c r="W76" s="1">
        <f>POWER((K52-K$58),2)</f>
        <v>3.0759691144635756E-4</v>
      </c>
      <c r="X76" s="1">
        <f>POWER((L52-L$58),2)</f>
        <v>4.6559612100989314E-3</v>
      </c>
    </row>
    <row r="77" spans="2:24" x14ac:dyDescent="0.45">
      <c r="B77" s="5" t="s">
        <v>22</v>
      </c>
      <c r="C77" s="1">
        <f>POWER((C53-C$57),2)</f>
        <v>0</v>
      </c>
      <c r="D77" s="1">
        <f>POWER((D53-D$57),2)</f>
        <v>0</v>
      </c>
      <c r="E77" s="1">
        <f>POWER((E53-E$57),2)</f>
        <v>6.0443472498482337E-6</v>
      </c>
      <c r="F77" s="1">
        <f>POWER((F53-F$57),2)</f>
        <v>1.0795536357983559E-6</v>
      </c>
      <c r="G77" s="1">
        <f>POWER((G53-G$57),2)</f>
        <v>4.8612543975184443E-4</v>
      </c>
      <c r="H77" s="1">
        <f>POWER((H53-H$57),2)</f>
        <v>9.925430850172598E-3</v>
      </c>
      <c r="I77" s="1">
        <f>POWER((I53-I$57),2)</f>
        <v>5.7261637649464619E-4</v>
      </c>
      <c r="J77" s="1">
        <f>POWER((J53-J$57),2)</f>
        <v>5.6900043039278658E-4</v>
      </c>
      <c r="K77" s="1">
        <f>POWER((K53-K$57),2)</f>
        <v>1.7980524503415274E-3</v>
      </c>
      <c r="L77" s="1">
        <f>POWER((L53-L$57),2)</f>
        <v>1.021884490556693E-4</v>
      </c>
      <c r="N77" s="5" t="s">
        <v>22</v>
      </c>
      <c r="O77" s="1">
        <f>POWER((C53-C$58),2)</f>
        <v>5.9660161377409924E-3</v>
      </c>
      <c r="P77" s="1">
        <f>POWER((D53-D$58),2)</f>
        <v>5.9548780536434805E-3</v>
      </c>
      <c r="Q77" s="1">
        <f>POWER((E53-E$58),2)</f>
        <v>8.404266091894012E-4</v>
      </c>
      <c r="R77" s="1">
        <f>POWER((F53-F$58),2)</f>
        <v>1.7535559470741151E-3</v>
      </c>
      <c r="S77" s="1">
        <f>POWER((G53-G$58),2)</f>
        <v>3.9574779021721773E-4</v>
      </c>
      <c r="T77" s="1">
        <f>POWER((H53-H$58),2)</f>
        <v>3.2070264411165238E-8</v>
      </c>
      <c r="U77" s="1">
        <f>POWER((I53-I$58),2)</f>
        <v>4.7297920986111523E-3</v>
      </c>
      <c r="V77" s="1">
        <f>POWER((J53-J$58),2)</f>
        <v>4.8295715122309187E-3</v>
      </c>
      <c r="W77" s="1">
        <f>POWER((K53-K$58),2)</f>
        <v>5.1208394236255115E-4</v>
      </c>
      <c r="X77" s="1">
        <f>POWER((L53-L$58),2)</f>
        <v>5.4776397596485987E-3</v>
      </c>
    </row>
    <row r="78" spans="2:24" s="6" customFormat="1" x14ac:dyDescent="0.45"/>
    <row r="79" spans="2:24" x14ac:dyDescent="0.45">
      <c r="C79" s="26"/>
      <c r="D79" s="26" t="s">
        <v>34</v>
      </c>
      <c r="E79" s="26"/>
      <c r="G79" s="26"/>
      <c r="H79" s="27" t="s">
        <v>37</v>
      </c>
      <c r="I79" s="26"/>
    </row>
    <row r="80" spans="2:24" x14ac:dyDescent="0.45">
      <c r="C80" s="24"/>
      <c r="D80" s="24"/>
      <c r="E80" s="24"/>
      <c r="G80" s="24"/>
      <c r="H80" s="25"/>
      <c r="I80" s="24"/>
      <c r="K80"/>
      <c r="L80"/>
      <c r="M80"/>
    </row>
    <row r="81" spans="3:18" x14ac:dyDescent="0.45">
      <c r="C81" s="24"/>
      <c r="D81" s="24"/>
      <c r="E81" s="24"/>
      <c r="G81" s="24"/>
      <c r="H81" s="25"/>
      <c r="I81" s="24"/>
      <c r="K81"/>
      <c r="L81"/>
      <c r="M81"/>
    </row>
    <row r="82" spans="3:18" x14ac:dyDescent="0.45">
      <c r="C82" s="24"/>
      <c r="D82" s="24"/>
      <c r="E82" s="24"/>
      <c r="G82" s="24"/>
      <c r="H82" s="25"/>
      <c r="I82" s="24"/>
      <c r="K82" s="26"/>
      <c r="L82" s="27" t="s">
        <v>36</v>
      </c>
      <c r="M82" s="26"/>
    </row>
    <row r="83" spans="3:18" x14ac:dyDescent="0.45">
      <c r="C83" s="1"/>
      <c r="D83" s="5" t="s">
        <v>28</v>
      </c>
      <c r="E83" s="5" t="s">
        <v>29</v>
      </c>
      <c r="G83" s="1"/>
      <c r="H83" s="5" t="s">
        <v>33</v>
      </c>
      <c r="K83" s="1"/>
      <c r="L83" s="5" t="s">
        <v>33</v>
      </c>
      <c r="M83" s="6"/>
      <c r="N83" s="6"/>
      <c r="O83" s="6"/>
      <c r="P83" s="6"/>
      <c r="Q83" s="6"/>
      <c r="R83" s="6"/>
    </row>
    <row r="84" spans="3:18" x14ac:dyDescent="0.45">
      <c r="C84" s="5" t="s">
        <v>10</v>
      </c>
      <c r="D84" s="1">
        <f>SQRT((SUM(C65:L65)))</f>
        <v>0.1559509933402555</v>
      </c>
      <c r="E84" s="1">
        <f>SQRT((SUM(O65:X65)))</f>
        <v>0.12375062221519284</v>
      </c>
      <c r="G84" s="5" t="s">
        <v>10</v>
      </c>
      <c r="H84" s="1">
        <f>E84/(SUM(D84:E84))</f>
        <v>0.44243799582437654</v>
      </c>
      <c r="K84" s="5" t="s">
        <v>10</v>
      </c>
      <c r="L84" s="1">
        <f>RANK(H84,$H$84:$H$96)</f>
        <v>9</v>
      </c>
      <c r="M84" s="6"/>
      <c r="N84" s="11"/>
      <c r="O84" s="6"/>
      <c r="P84" s="6"/>
      <c r="Q84" s="6"/>
      <c r="R84" s="6"/>
    </row>
    <row r="85" spans="3:18" x14ac:dyDescent="0.45">
      <c r="C85" s="5" t="s">
        <v>11</v>
      </c>
      <c r="D85" s="1">
        <f>SQRT((SUM(C66:L66)))</f>
        <v>0.18077696224551268</v>
      </c>
      <c r="E85" s="1">
        <f>SQRT((SUM(O66:X66)))</f>
        <v>7.9105697852588613E-2</v>
      </c>
      <c r="G85" s="5" t="s">
        <v>11</v>
      </c>
      <c r="H85" s="1">
        <f t="shared" ref="H85:H96" si="13">E85/(SUM(D85:E85))</f>
        <v>0.30439005750798287</v>
      </c>
      <c r="K85" s="5" t="s">
        <v>11</v>
      </c>
      <c r="L85" s="1">
        <f t="shared" ref="L85:L96" si="14">RANK(H85,$H$84:$H$96)</f>
        <v>11</v>
      </c>
      <c r="M85" s="6"/>
      <c r="N85" s="11"/>
      <c r="O85" s="6"/>
      <c r="P85" s="6"/>
      <c r="Q85" s="6"/>
      <c r="R85" s="6"/>
    </row>
    <row r="86" spans="3:18" x14ac:dyDescent="0.45">
      <c r="C86" s="5" t="s">
        <v>12</v>
      </c>
      <c r="D86" s="1">
        <f>SQRT((SUM(C67:L67)))</f>
        <v>0.14765755744840559</v>
      </c>
      <c r="E86" s="1">
        <f>SQRT((SUM(O67:X67)))</f>
        <v>0.14750453210819306</v>
      </c>
      <c r="G86" s="5" t="s">
        <v>12</v>
      </c>
      <c r="H86" s="1">
        <f t="shared" si="13"/>
        <v>0.49974077744800766</v>
      </c>
      <c r="K86" s="5" t="s">
        <v>12</v>
      </c>
      <c r="L86" s="1">
        <f t="shared" si="14"/>
        <v>4</v>
      </c>
      <c r="M86" s="6"/>
      <c r="N86" s="11"/>
      <c r="O86" s="6"/>
      <c r="P86" s="6"/>
      <c r="Q86" s="6"/>
      <c r="R86" s="6"/>
    </row>
    <row r="87" spans="3:18" x14ac:dyDescent="0.45">
      <c r="C87" s="5" t="s">
        <v>13</v>
      </c>
      <c r="D87" s="1">
        <f>SQRT((SUM(C68:L68)))</f>
        <v>0.15018916330397231</v>
      </c>
      <c r="E87" s="1">
        <f>SQRT((SUM(O68:X68)))</f>
        <v>0.12390671758827125</v>
      </c>
      <c r="G87" s="5" t="s">
        <v>13</v>
      </c>
      <c r="H87" s="1">
        <f>E87/(SUM(D87:E87))</f>
        <v>0.45205610965377185</v>
      </c>
      <c r="K87" s="5" t="s">
        <v>13</v>
      </c>
      <c r="L87" s="1">
        <f t="shared" si="14"/>
        <v>8</v>
      </c>
      <c r="M87" s="6"/>
      <c r="N87" s="11"/>
      <c r="O87" s="6"/>
      <c r="P87" s="6"/>
      <c r="Q87" s="6"/>
      <c r="R87" s="6"/>
    </row>
    <row r="88" spans="3:18" x14ac:dyDescent="0.45">
      <c r="C88" s="5" t="s">
        <v>14</v>
      </c>
      <c r="D88" s="1">
        <f>SQRT((SUM(C69:L69)))</f>
        <v>0.15464588739458857</v>
      </c>
      <c r="E88" s="1">
        <f>SQRT((SUM(O69:X69)))</f>
        <v>0.15373196195862568</v>
      </c>
      <c r="G88" s="5" t="s">
        <v>14</v>
      </c>
      <c r="H88" s="1">
        <f t="shared" si="13"/>
        <v>0.49851817269320786</v>
      </c>
      <c r="K88" s="5" t="s">
        <v>14</v>
      </c>
      <c r="L88" s="1">
        <f t="shared" si="14"/>
        <v>5</v>
      </c>
      <c r="M88" s="6"/>
      <c r="N88" s="11"/>
      <c r="O88" s="6"/>
      <c r="P88" s="6"/>
      <c r="Q88" s="6"/>
      <c r="R88" s="6"/>
    </row>
    <row r="89" spans="3:18" x14ac:dyDescent="0.45">
      <c r="C89" s="5" t="s">
        <v>16</v>
      </c>
      <c r="D89" s="1">
        <f>SQRT((SUM(C70:L70)))</f>
        <v>0.11520104146127869</v>
      </c>
      <c r="E89" s="1">
        <f>SQRT((SUM(O70:X70)))</f>
        <v>0.16932037121210156</v>
      </c>
      <c r="G89" s="5" t="s">
        <v>16</v>
      </c>
      <c r="H89" s="1">
        <f t="shared" si="13"/>
        <v>0.59510589948628889</v>
      </c>
      <c r="K89" s="5" t="s">
        <v>16</v>
      </c>
      <c r="L89" s="1">
        <f t="shared" si="14"/>
        <v>2</v>
      </c>
      <c r="M89" s="6"/>
      <c r="N89" s="11"/>
      <c r="O89" s="6"/>
      <c r="P89" s="6"/>
      <c r="Q89" s="6"/>
      <c r="R89" s="6"/>
    </row>
    <row r="90" spans="3:18" x14ac:dyDescent="0.45">
      <c r="C90" s="5" t="s">
        <v>17</v>
      </c>
      <c r="D90" s="1">
        <f>SQRT((SUM(C71:L71)))</f>
        <v>0.16456397403702652</v>
      </c>
      <c r="E90" s="1">
        <f>SQRT((SUM(O71:X71)))</f>
        <v>0.14170378934754005</v>
      </c>
      <c r="G90" s="5" t="s">
        <v>17</v>
      </c>
      <c r="H90" s="1">
        <f t="shared" si="13"/>
        <v>0.46267941418832581</v>
      </c>
      <c r="K90" s="5" t="s">
        <v>17</v>
      </c>
      <c r="L90" s="1">
        <f t="shared" si="14"/>
        <v>7</v>
      </c>
      <c r="M90" s="6"/>
      <c r="N90" s="11"/>
      <c r="O90" s="6"/>
      <c r="P90" s="6"/>
      <c r="Q90" s="6"/>
      <c r="R90" s="6"/>
    </row>
    <row r="91" spans="3:18" x14ac:dyDescent="0.45">
      <c r="C91" s="5" t="s">
        <v>15</v>
      </c>
      <c r="D91" s="1">
        <f>SQRT((SUM(C72:L72)))</f>
        <v>0.15768295721160355</v>
      </c>
      <c r="E91" s="1">
        <f>SQRT((SUM(O72:X72)))</f>
        <v>0.12481126735539398</v>
      </c>
      <c r="G91" s="5" t="s">
        <v>15</v>
      </c>
      <c r="H91" s="1">
        <f t="shared" si="13"/>
        <v>0.44181882849712284</v>
      </c>
      <c r="K91" s="5" t="s">
        <v>15</v>
      </c>
      <c r="L91" s="1">
        <f t="shared" si="14"/>
        <v>10</v>
      </c>
      <c r="M91" s="6"/>
      <c r="N91" s="11"/>
      <c r="O91" s="6"/>
    </row>
    <row r="92" spans="3:18" x14ac:dyDescent="0.45">
      <c r="C92" s="5" t="s">
        <v>18</v>
      </c>
      <c r="D92" s="1">
        <f>SQRT((SUM(C73:L73)))</f>
        <v>0.14400974561042165</v>
      </c>
      <c r="E92" s="1">
        <f>SQRT((SUM(O73:X73)))</f>
        <v>0.15626006352746438</v>
      </c>
      <c r="G92" s="5" t="s">
        <v>18</v>
      </c>
      <c r="H92" s="1">
        <f t="shared" si="13"/>
        <v>0.52039885054081025</v>
      </c>
      <c r="K92" s="5" t="s">
        <v>18</v>
      </c>
      <c r="L92" s="1">
        <f t="shared" si="14"/>
        <v>3</v>
      </c>
      <c r="N92" s="12"/>
    </row>
    <row r="93" spans="3:18" x14ac:dyDescent="0.45">
      <c r="C93" s="5" t="s">
        <v>19</v>
      </c>
      <c r="D93" s="1">
        <f>SQRT((SUM(C74:L74)))</f>
        <v>0.20459107687975611</v>
      </c>
      <c r="E93" s="1">
        <f>SQRT((SUM(O74:X74)))</f>
        <v>7.079390551406857E-2</v>
      </c>
      <c r="G93" s="5" t="s">
        <v>19</v>
      </c>
      <c r="H93" s="1">
        <f t="shared" si="13"/>
        <v>0.25707249864782777</v>
      </c>
      <c r="K93" s="5" t="s">
        <v>19</v>
      </c>
      <c r="L93" s="1">
        <f t="shared" si="14"/>
        <v>12</v>
      </c>
      <c r="N93" s="12"/>
    </row>
    <row r="94" spans="3:18" x14ac:dyDescent="0.45">
      <c r="C94" s="5" t="s">
        <v>20</v>
      </c>
      <c r="D94" s="1">
        <f>SQRT((SUM(C75:L75)))</f>
        <v>0.2093998815563721</v>
      </c>
      <c r="E94" s="1">
        <f>SQRT((SUM(O75:X75)))</f>
        <v>6.0143134605631844E-2</v>
      </c>
      <c r="G94" s="5" t="s">
        <v>20</v>
      </c>
      <c r="H94" s="1">
        <f t="shared" si="13"/>
        <v>0.2231300052288645</v>
      </c>
      <c r="K94" s="5" t="s">
        <v>20</v>
      </c>
      <c r="L94" s="1">
        <f t="shared" si="14"/>
        <v>13</v>
      </c>
      <c r="N94" s="12"/>
    </row>
    <row r="95" spans="3:18" x14ac:dyDescent="0.45">
      <c r="C95" s="5" t="s">
        <v>21</v>
      </c>
      <c r="D95" s="1">
        <f>SQRT((SUM(C76:L76)))</f>
        <v>0.14730655310499147</v>
      </c>
      <c r="E95" s="1">
        <f>SQRT((SUM(O76:X76)))</f>
        <v>0.1432348156674885</v>
      </c>
      <c r="G95" s="5" t="s">
        <v>21</v>
      </c>
      <c r="H95" s="1">
        <f t="shared" si="13"/>
        <v>0.49299284391977327</v>
      </c>
      <c r="K95" s="5" t="s">
        <v>21</v>
      </c>
      <c r="L95" s="1">
        <f t="shared" si="14"/>
        <v>6</v>
      </c>
      <c r="N95" s="12"/>
    </row>
    <row r="96" spans="3:18" x14ac:dyDescent="0.45">
      <c r="C96" s="5" t="s">
        <v>22</v>
      </c>
      <c r="D96" s="1">
        <f>SQRT((SUM(C77:L77)))</f>
        <v>0.11601955825245466</v>
      </c>
      <c r="E96" s="1">
        <f>SQRT((SUM(O77:X77)))</f>
        <v>0.17452720109192962</v>
      </c>
      <c r="G96" s="5" t="s">
        <v>22</v>
      </c>
      <c r="H96" s="1">
        <f t="shared" si="13"/>
        <v>0.60068541630183181</v>
      </c>
      <c r="K96" s="5" t="s">
        <v>22</v>
      </c>
      <c r="L96" s="1">
        <f t="shared" si="14"/>
        <v>1</v>
      </c>
      <c r="N96" s="12"/>
    </row>
  </sheetData>
  <mergeCells count="6">
    <mergeCell ref="C61:L61"/>
    <mergeCell ref="C2:L2"/>
    <mergeCell ref="C20:L20"/>
    <mergeCell ref="C39:L39"/>
    <mergeCell ref="C55:L55"/>
    <mergeCell ref="O61:X61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2EEA2-5F4F-4BD4-A1CB-69468B84E621}">
  <dimension ref="B1:X96"/>
  <sheetViews>
    <sheetView zoomScaleNormal="100" workbookViewId="0">
      <selection activeCell="N17" sqref="N17"/>
    </sheetView>
  </sheetViews>
  <sheetFormatPr defaultColWidth="9.1328125" defaultRowHeight="14.25" x14ac:dyDescent="0.45"/>
  <cols>
    <col min="1" max="8" width="9.1328125" style="2"/>
    <col min="9" max="9" width="10.265625" style="2" bestFit="1" customWidth="1"/>
    <col min="10" max="16384" width="9.1328125" style="2"/>
  </cols>
  <sheetData>
    <row r="1" spans="2:17" x14ac:dyDescent="0.45">
      <c r="K1"/>
      <c r="M1"/>
      <c r="N1"/>
    </row>
    <row r="2" spans="2:17" x14ac:dyDescent="0.45">
      <c r="C2" s="22" t="s">
        <v>23</v>
      </c>
      <c r="D2" s="22"/>
      <c r="E2" s="22"/>
      <c r="F2" s="22"/>
      <c r="G2" s="22"/>
      <c r="H2" s="22"/>
      <c r="I2" s="22"/>
      <c r="J2" s="22"/>
      <c r="K2"/>
      <c r="M2"/>
      <c r="N2"/>
    </row>
    <row r="3" spans="2:17" x14ac:dyDescent="0.45">
      <c r="B3" s="1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4" t="s">
        <v>5</v>
      </c>
      <c r="I3" s="15" t="s">
        <v>6</v>
      </c>
      <c r="J3" s="3" t="s">
        <v>7</v>
      </c>
      <c r="K3"/>
      <c r="L3"/>
      <c r="M3"/>
      <c r="N3"/>
    </row>
    <row r="4" spans="2:17" x14ac:dyDescent="0.45">
      <c r="B4" s="5" t="s">
        <v>39</v>
      </c>
      <c r="C4" s="17">
        <v>0.1124</v>
      </c>
      <c r="D4" s="17">
        <v>0.49830000000000002</v>
      </c>
      <c r="E4" s="17">
        <v>0.76700000000000002</v>
      </c>
      <c r="F4" s="18">
        <v>4.43</v>
      </c>
      <c r="G4" s="18">
        <v>13.2</v>
      </c>
      <c r="H4" s="17">
        <v>0.30549999999999999</v>
      </c>
      <c r="I4" s="18">
        <v>2.12</v>
      </c>
      <c r="J4" s="18">
        <v>1.49</v>
      </c>
      <c r="K4"/>
      <c r="L4"/>
      <c r="M4" s="13"/>
      <c r="N4"/>
      <c r="O4"/>
      <c r="P4"/>
      <c r="Q4"/>
    </row>
    <row r="5" spans="2:17" x14ac:dyDescent="0.45">
      <c r="B5" s="5" t="s">
        <v>40</v>
      </c>
      <c r="C5" s="17">
        <v>0.1108</v>
      </c>
      <c r="D5" s="17">
        <v>0.4904</v>
      </c>
      <c r="E5" s="17">
        <v>0.73819999999999997</v>
      </c>
      <c r="F5" s="18">
        <v>4.43</v>
      </c>
      <c r="G5" s="18">
        <v>20.3</v>
      </c>
      <c r="H5" s="17">
        <v>0.24440000000000001</v>
      </c>
      <c r="I5" s="18">
        <v>3.24</v>
      </c>
      <c r="J5" s="18">
        <v>1.74</v>
      </c>
      <c r="K5"/>
      <c r="L5"/>
      <c r="M5" s="13"/>
      <c r="N5"/>
      <c r="O5"/>
      <c r="P5"/>
      <c r="Q5"/>
    </row>
    <row r="6" spans="2:17" x14ac:dyDescent="0.45">
      <c r="B6" s="5" t="s">
        <v>41</v>
      </c>
      <c r="C6" s="17">
        <v>0.2326</v>
      </c>
      <c r="D6" s="16">
        <v>0.34229999999999999</v>
      </c>
      <c r="E6" s="17">
        <v>0.6714</v>
      </c>
      <c r="F6" s="18">
        <v>1.47</v>
      </c>
      <c r="G6" s="18">
        <v>4.58</v>
      </c>
      <c r="H6" s="19">
        <v>0.39660000000000001</v>
      </c>
      <c r="I6" s="18">
        <v>1.53</v>
      </c>
      <c r="J6" s="18">
        <v>0.78</v>
      </c>
      <c r="K6"/>
      <c r="L6"/>
      <c r="M6" s="13"/>
      <c r="N6"/>
      <c r="O6"/>
      <c r="P6"/>
      <c r="Q6"/>
    </row>
    <row r="7" spans="2:17" x14ac:dyDescent="0.45">
      <c r="B7" s="5" t="s">
        <v>42</v>
      </c>
      <c r="C7" s="19">
        <v>0.109</v>
      </c>
      <c r="D7" s="19">
        <v>0.50519999999999998</v>
      </c>
      <c r="E7" s="17">
        <v>0.64959999999999996</v>
      </c>
      <c r="F7" s="18">
        <v>3.71</v>
      </c>
      <c r="G7" s="18">
        <v>45.7</v>
      </c>
      <c r="H7" s="19">
        <v>0.1867</v>
      </c>
      <c r="I7" s="18">
        <v>5.08</v>
      </c>
      <c r="J7" s="18">
        <v>4.16</v>
      </c>
      <c r="K7"/>
      <c r="L7"/>
      <c r="M7" s="14"/>
      <c r="N7"/>
      <c r="O7"/>
      <c r="P7"/>
      <c r="Q7"/>
    </row>
    <row r="8" spans="2:17" x14ac:dyDescent="0.45">
      <c r="B8" s="5" t="s">
        <v>43</v>
      </c>
      <c r="C8" s="17">
        <v>9.3100000000000002E-2</v>
      </c>
      <c r="D8" s="17">
        <v>0.53610000000000002</v>
      </c>
      <c r="E8" s="17">
        <v>0.95940000000000003</v>
      </c>
      <c r="F8" s="18">
        <v>5.76</v>
      </c>
      <c r="G8" s="18">
        <v>43.14</v>
      </c>
      <c r="H8" s="19">
        <v>0.35070000000000001</v>
      </c>
      <c r="I8" s="18">
        <v>2.56</v>
      </c>
      <c r="J8" s="18">
        <v>1.56</v>
      </c>
      <c r="K8"/>
      <c r="L8"/>
      <c r="M8" s="14"/>
      <c r="N8"/>
      <c r="O8"/>
      <c r="P8"/>
      <c r="Q8"/>
    </row>
    <row r="9" spans="2:17" x14ac:dyDescent="0.45">
      <c r="B9" s="5" t="s">
        <v>44</v>
      </c>
      <c r="C9" s="17">
        <v>0.2596</v>
      </c>
      <c r="D9" s="17">
        <v>0.37240000000000001</v>
      </c>
      <c r="E9" s="17">
        <v>0.55030000000000001</v>
      </c>
      <c r="F9" s="18">
        <v>1.43</v>
      </c>
      <c r="G9" s="18">
        <v>3.54</v>
      </c>
      <c r="H9" s="19">
        <v>0.25840000000000002</v>
      </c>
      <c r="I9" s="21">
        <v>2.29</v>
      </c>
      <c r="J9" s="18">
        <v>0.92</v>
      </c>
      <c r="K9"/>
      <c r="L9"/>
      <c r="M9" s="14"/>
      <c r="N9"/>
      <c r="O9"/>
      <c r="P9"/>
      <c r="Q9"/>
    </row>
    <row r="10" spans="2:17" x14ac:dyDescent="0.45">
      <c r="B10" s="5" t="s">
        <v>45</v>
      </c>
      <c r="C10" s="17">
        <v>0.22020000000000001</v>
      </c>
      <c r="D10" s="17">
        <v>0.39360000000000001</v>
      </c>
      <c r="E10" s="17">
        <v>0.83509999999999995</v>
      </c>
      <c r="F10" s="18">
        <v>1.79</v>
      </c>
      <c r="G10" s="18">
        <v>9.16</v>
      </c>
      <c r="H10" s="19">
        <v>0.4335</v>
      </c>
      <c r="I10" s="18">
        <v>1.84</v>
      </c>
      <c r="J10" s="18">
        <v>0.82</v>
      </c>
      <c r="K10"/>
      <c r="L10"/>
      <c r="M10" s="14"/>
      <c r="N10"/>
      <c r="O10"/>
      <c r="P10"/>
      <c r="Q10"/>
    </row>
    <row r="11" spans="2:17" x14ac:dyDescent="0.45">
      <c r="B11" s="5" t="s">
        <v>46</v>
      </c>
      <c r="C11" s="17">
        <v>9.2299999999999993E-2</v>
      </c>
      <c r="D11" s="16">
        <v>0.47060000000000002</v>
      </c>
      <c r="E11" s="17">
        <v>0.85370000000000001</v>
      </c>
      <c r="F11" s="18">
        <v>5.0999999999999996</v>
      </c>
      <c r="G11" s="18">
        <v>33.56</v>
      </c>
      <c r="H11" s="19">
        <v>0.38790000000000002</v>
      </c>
      <c r="I11" s="18">
        <v>2.2599999999999998</v>
      </c>
      <c r="J11" s="18">
        <v>0.91</v>
      </c>
      <c r="K11"/>
      <c r="L11"/>
      <c r="M11" s="14"/>
      <c r="N11"/>
      <c r="O11"/>
      <c r="P11"/>
      <c r="Q11"/>
    </row>
    <row r="12" spans="2:17" x14ac:dyDescent="0.45">
      <c r="B12" s="5" t="s">
        <v>47</v>
      </c>
      <c r="C12" s="17">
        <v>7.5499999999999998E-2</v>
      </c>
      <c r="D12" s="17">
        <v>0.3226</v>
      </c>
      <c r="E12" s="17">
        <v>0.74299999999999999</v>
      </c>
      <c r="F12" s="18">
        <v>4.2699999999999996</v>
      </c>
      <c r="G12" s="18">
        <v>16.760000000000002</v>
      </c>
      <c r="H12" s="19">
        <v>0.54779999999999995</v>
      </c>
      <c r="I12" s="18">
        <v>1.26</v>
      </c>
      <c r="J12" s="18">
        <v>0.45</v>
      </c>
      <c r="K12"/>
      <c r="L12"/>
      <c r="M12" s="14"/>
      <c r="N12"/>
      <c r="O12"/>
      <c r="P12"/>
      <c r="Q12"/>
    </row>
    <row r="13" spans="2:17" x14ac:dyDescent="0.45">
      <c r="B13" s="5" t="s">
        <v>48</v>
      </c>
      <c r="C13" s="17">
        <v>0.1656</v>
      </c>
      <c r="D13" s="17">
        <v>0.39750000000000002</v>
      </c>
      <c r="E13" s="17">
        <v>1.1227</v>
      </c>
      <c r="F13" s="18">
        <v>2.4</v>
      </c>
      <c r="G13" s="18">
        <v>41.55</v>
      </c>
      <c r="H13" s="19">
        <v>0.55959999999999999</v>
      </c>
      <c r="I13" s="18">
        <v>1.69</v>
      </c>
      <c r="J13" s="18">
        <v>0.73</v>
      </c>
      <c r="K13"/>
      <c r="L13"/>
      <c r="M13" s="14"/>
      <c r="N13"/>
      <c r="O13"/>
      <c r="P13"/>
      <c r="Q13"/>
    </row>
    <row r="14" spans="2:17" x14ac:dyDescent="0.45">
      <c r="B14" s="5" t="s">
        <v>49</v>
      </c>
      <c r="C14" s="17">
        <v>8.2199999999999995E-2</v>
      </c>
      <c r="D14" s="17">
        <v>0.20799999999999999</v>
      </c>
      <c r="E14" s="17">
        <v>0.84360000000000002</v>
      </c>
      <c r="F14" s="18">
        <v>2.5299999999999998</v>
      </c>
      <c r="G14" s="18">
        <v>34.729999999999997</v>
      </c>
      <c r="H14" s="19">
        <v>0.76900000000000002</v>
      </c>
      <c r="I14" s="18">
        <v>1.23</v>
      </c>
      <c r="J14" s="18">
        <v>0.98</v>
      </c>
      <c r="K14"/>
      <c r="L14"/>
      <c r="M14" s="14"/>
      <c r="N14"/>
      <c r="O14"/>
      <c r="P14"/>
      <c r="Q14"/>
    </row>
    <row r="15" spans="2:17" x14ac:dyDescent="0.45">
      <c r="B15" s="5" t="s">
        <v>50</v>
      </c>
      <c r="C15" s="17">
        <v>4.1399999999999999E-2</v>
      </c>
      <c r="D15" s="17">
        <v>3.6600000000000001E-2</v>
      </c>
      <c r="E15" s="17">
        <v>0.40550000000000003</v>
      </c>
      <c r="F15" s="18">
        <v>0.88</v>
      </c>
      <c r="G15" s="18">
        <v>45.61</v>
      </c>
      <c r="H15" s="20">
        <v>0.92889999999999995</v>
      </c>
      <c r="I15" s="18">
        <v>1.05</v>
      </c>
      <c r="J15" s="18">
        <v>0.96</v>
      </c>
      <c r="K15"/>
      <c r="L15"/>
      <c r="M15" s="14"/>
      <c r="N15"/>
      <c r="O15"/>
      <c r="P15"/>
      <c r="Q15"/>
    </row>
    <row r="16" spans="2:17" customFormat="1" x14ac:dyDescent="0.45"/>
    <row r="17" spans="2:17" x14ac:dyDescent="0.45">
      <c r="B17" s="10" t="s">
        <v>38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0</v>
      </c>
      <c r="I17" s="1">
        <v>1</v>
      </c>
      <c r="J17" s="1">
        <v>1</v>
      </c>
      <c r="K17"/>
      <c r="L17"/>
      <c r="M17" s="14"/>
      <c r="N17"/>
      <c r="O17"/>
      <c r="P17"/>
      <c r="Q17"/>
    </row>
    <row r="18" spans="2:17" x14ac:dyDescent="0.45">
      <c r="B18" s="5" t="s">
        <v>32</v>
      </c>
      <c r="C18" s="1">
        <v>0.1</v>
      </c>
      <c r="D18" s="1">
        <v>0.1</v>
      </c>
      <c r="E18" s="1">
        <v>0.1</v>
      </c>
      <c r="F18" s="1">
        <v>0.1</v>
      </c>
      <c r="G18" s="1">
        <v>0.1</v>
      </c>
      <c r="H18" s="1">
        <v>0.1</v>
      </c>
      <c r="I18" s="1">
        <v>0.1</v>
      </c>
      <c r="J18" s="1">
        <v>0.1</v>
      </c>
      <c r="K18"/>
      <c r="L18"/>
      <c r="M18" s="14"/>
      <c r="N18"/>
      <c r="O18"/>
      <c r="P18"/>
      <c r="Q18"/>
    </row>
    <row r="19" spans="2:17" x14ac:dyDescent="0.45">
      <c r="B19" s="6"/>
      <c r="C19" s="6"/>
      <c r="D19" s="6"/>
      <c r="E19" s="6"/>
      <c r="F19" s="6"/>
      <c r="G19" s="6"/>
      <c r="H19" s="6"/>
      <c r="I19" s="6"/>
      <c r="J19" s="6"/>
      <c r="K19"/>
      <c r="L19"/>
      <c r="M19" s="14"/>
      <c r="N19"/>
      <c r="O19"/>
      <c r="P19"/>
      <c r="Q19"/>
    </row>
    <row r="20" spans="2:17" x14ac:dyDescent="0.45">
      <c r="C20" s="22" t="s">
        <v>24</v>
      </c>
      <c r="D20" s="22"/>
      <c r="E20" s="22"/>
      <c r="F20" s="22"/>
      <c r="G20" s="22"/>
      <c r="H20" s="22"/>
      <c r="I20" s="22"/>
      <c r="J20" s="22"/>
      <c r="K20"/>
      <c r="L20"/>
      <c r="M20" s="14"/>
      <c r="N20"/>
      <c r="O20"/>
      <c r="P20"/>
      <c r="Q20"/>
    </row>
    <row r="21" spans="2:17" x14ac:dyDescent="0.45">
      <c r="C21" s="28"/>
      <c r="D21" s="28"/>
      <c r="E21" s="28"/>
      <c r="F21" s="28"/>
      <c r="G21" s="28"/>
      <c r="H21" s="28"/>
      <c r="I21" s="28"/>
      <c r="J21" s="28"/>
      <c r="K21"/>
      <c r="L21"/>
      <c r="M21" s="14"/>
      <c r="N21"/>
      <c r="O21"/>
      <c r="P21"/>
      <c r="Q21"/>
    </row>
    <row r="22" spans="2:17" x14ac:dyDescent="0.45">
      <c r="C22" s="28"/>
      <c r="D22" s="28"/>
      <c r="E22" s="28"/>
      <c r="F22" s="28"/>
      <c r="G22" s="28"/>
      <c r="H22" s="28"/>
      <c r="I22" s="28"/>
      <c r="J22" s="28"/>
      <c r="K22"/>
      <c r="L22"/>
      <c r="M22" s="14"/>
      <c r="N22"/>
      <c r="O22"/>
      <c r="P22"/>
      <c r="Q22"/>
    </row>
    <row r="23" spans="2:17" x14ac:dyDescent="0.45">
      <c r="C23" s="28"/>
      <c r="D23" s="28"/>
      <c r="E23" s="28"/>
      <c r="F23" s="28"/>
      <c r="G23" s="28"/>
      <c r="H23" s="28"/>
      <c r="I23" s="28"/>
      <c r="J23" s="28"/>
      <c r="K23"/>
      <c r="L23"/>
      <c r="M23" s="14"/>
      <c r="N23"/>
      <c r="O23"/>
      <c r="P23"/>
      <c r="Q23"/>
    </row>
    <row r="24" spans="2:17" x14ac:dyDescent="0.45">
      <c r="B24" s="1"/>
      <c r="C24" s="5" t="s">
        <v>0</v>
      </c>
      <c r="D24" s="5" t="s">
        <v>1</v>
      </c>
      <c r="E24" s="5" t="s">
        <v>2</v>
      </c>
      <c r="F24" s="5" t="s">
        <v>3</v>
      </c>
      <c r="G24" s="5" t="s">
        <v>4</v>
      </c>
      <c r="H24" s="5" t="s">
        <v>5</v>
      </c>
      <c r="I24" s="5" t="s">
        <v>6</v>
      </c>
      <c r="J24" s="5" t="s">
        <v>7</v>
      </c>
      <c r="K24"/>
      <c r="L24"/>
      <c r="M24" s="14"/>
      <c r="N24"/>
      <c r="O24"/>
      <c r="P24"/>
      <c r="Q24"/>
    </row>
    <row r="25" spans="2:17" x14ac:dyDescent="0.45">
      <c r="B25" s="5" t="s">
        <v>39</v>
      </c>
      <c r="C25" s="1">
        <f>C4/SQRT(SUMSQ($C$4:$C$16))</f>
        <v>0.21811650086348844</v>
      </c>
      <c r="D25" s="1">
        <f>D4/SQRT(SUMSQ($D$4:$D$16))</f>
        <v>0.35499321567300868</v>
      </c>
      <c r="E25" s="1">
        <f>E4/SQRT(SUMSQ($E$4:$E$16))</f>
        <v>0.28302667790213948</v>
      </c>
      <c r="F25" s="1">
        <f>F4/SQRT(SUMSQ($F$4:$F$16))</f>
        <v>0.36077167502737795</v>
      </c>
      <c r="G25" s="1">
        <f>G4/SQRT(SUMSQ($G$4:$G$16))</f>
        <v>0.12543974567243915</v>
      </c>
      <c r="H25" s="1">
        <f>H4/SQRT(SUMSQ($H$4:$H$16))</f>
        <v>0.17814658901109798</v>
      </c>
      <c r="I25" s="1">
        <f>I4/SQRT(SUMSQ($I$4:$I$16))</f>
        <v>0.25250748833327746</v>
      </c>
      <c r="J25" s="1">
        <f>J4/SQRT(SUMSQ($J$4:$J$16))</f>
        <v>0.26953330443861573</v>
      </c>
      <c r="K25"/>
      <c r="L25"/>
      <c r="M25" s="14"/>
      <c r="N25"/>
      <c r="O25"/>
      <c r="P25"/>
      <c r="Q25"/>
    </row>
    <row r="26" spans="2:17" x14ac:dyDescent="0.45">
      <c r="B26" s="5" t="s">
        <v>40</v>
      </c>
      <c r="C26" s="1">
        <f>C5/SQRT(SUMSQ($C$4:$C$16))</f>
        <v>0.21501163964123235</v>
      </c>
      <c r="D26" s="1">
        <f>D5/SQRT(SUMSQ($D$4:$D$16))</f>
        <v>0.34936518756982432</v>
      </c>
      <c r="E26" s="1">
        <f>E5/SQRT(SUMSQ($E$4:$E$16))</f>
        <v>0.27239933980099001</v>
      </c>
      <c r="F26" s="1">
        <f>F5/SQRT(SUMSQ($F$4:$F$16))</f>
        <v>0.36077167502737795</v>
      </c>
      <c r="G26" s="1">
        <f>G5/SQRT(SUMSQ($G$4:$G$16))</f>
        <v>0.19291112402655416</v>
      </c>
      <c r="H26" s="1">
        <f>H5/SQRT(SUMSQ($H$4:$H$16))</f>
        <v>0.14251727120887839</v>
      </c>
      <c r="I26" s="1">
        <f>I5/SQRT(SUMSQ($I$4:$I$16))</f>
        <v>0.38590767084897126</v>
      </c>
      <c r="J26" s="1">
        <f>J5/SQRT(SUMSQ($J$4:$J$16))</f>
        <v>0.31475701323704114</v>
      </c>
      <c r="K26"/>
      <c r="L26"/>
      <c r="M26" s="14"/>
      <c r="N26"/>
      <c r="O26"/>
      <c r="P26"/>
      <c r="Q26"/>
    </row>
    <row r="27" spans="2:17" x14ac:dyDescent="0.45">
      <c r="B27" s="5" t="s">
        <v>41</v>
      </c>
      <c r="C27" s="1">
        <f>C6/SQRT(SUMSQ($C$4:$C$16))</f>
        <v>0.45136920018547516</v>
      </c>
      <c r="D27" s="1">
        <f>D6/SQRT(SUMSQ($D$4:$D$16))</f>
        <v>0.24385747085063389</v>
      </c>
      <c r="E27" s="1">
        <f>E6/SQRT(SUMSQ($E$4:$E$16))</f>
        <v>0.2477498194830462</v>
      </c>
      <c r="F27" s="1">
        <f>F6/SQRT(SUMSQ($F$4:$F$16))</f>
        <v>0.11971430300005544</v>
      </c>
      <c r="G27" s="1">
        <f>G6/SQRT(SUMSQ($G$4:$G$16))</f>
        <v>4.3523790543922074E-2</v>
      </c>
      <c r="H27" s="1">
        <f>H6/SQRT(SUMSQ($H$4:$H$16))</f>
        <v>0.23126984354108496</v>
      </c>
      <c r="I27" s="1">
        <f>I6/SQRT(SUMSQ($I$4:$I$16))</f>
        <v>0.1822341779009031</v>
      </c>
      <c r="J27" s="1">
        <f>J6/SQRT(SUMSQ($J$4:$J$16))</f>
        <v>0.14109797145108743</v>
      </c>
      <c r="K27"/>
      <c r="L27"/>
      <c r="M27" s="14"/>
      <c r="N27"/>
      <c r="O27"/>
      <c r="P27"/>
      <c r="Q27"/>
    </row>
    <row r="28" spans="2:17" x14ac:dyDescent="0.45">
      <c r="B28" s="5" t="s">
        <v>42</v>
      </c>
      <c r="C28" s="1">
        <f>C7/SQRT(SUMSQ($C$4:$C$16))</f>
        <v>0.21151867076619429</v>
      </c>
      <c r="D28" s="1">
        <f>D7/SQRT(SUMSQ($D$4:$D$16))</f>
        <v>0.35990883515553679</v>
      </c>
      <c r="E28" s="1">
        <f>E7/SQRT(SUMSQ($E$4:$E$16))</f>
        <v>0.23970551494814835</v>
      </c>
      <c r="F28" s="1">
        <f>F7/SQRT(SUMSQ($F$4:$F$16))</f>
        <v>0.30213609804775898</v>
      </c>
      <c r="G28" s="1">
        <f>G7/SQRT(SUMSQ($G$4:$G$16))</f>
        <v>0.43428760433564167</v>
      </c>
      <c r="H28" s="1">
        <f>H7/SQRT(SUMSQ($H$4:$H$16))</f>
        <v>0.1088705995691391</v>
      </c>
      <c r="I28" s="1">
        <f>I7/SQRT(SUMSQ($I$4:$I$16))</f>
        <v>0.60506511355332526</v>
      </c>
      <c r="J28" s="1">
        <f>J7/SQRT(SUMSQ($J$4:$J$16))</f>
        <v>0.75252251440579965</v>
      </c>
      <c r="K28"/>
      <c r="L28"/>
      <c r="M28" s="14"/>
      <c r="N28"/>
      <c r="O28"/>
      <c r="P28"/>
      <c r="Q28"/>
    </row>
    <row r="29" spans="2:17" x14ac:dyDescent="0.45">
      <c r="B29" s="5" t="s">
        <v>43</v>
      </c>
      <c r="C29" s="1">
        <f>C8/SQRT(SUMSQ($C$4:$C$16))</f>
        <v>0.18066411237002467</v>
      </c>
      <c r="D29" s="1">
        <f>D8/SQRT(SUMSQ($D$4:$D$16))</f>
        <v>0.38192226153381487</v>
      </c>
      <c r="E29" s="1">
        <f>E8/SQRT(SUMSQ($E$4:$E$16))</f>
        <v>0.35402320049454056</v>
      </c>
      <c r="F29" s="1">
        <f>F8/SQRT(SUMSQ($F$4:$F$16))</f>
        <v>0.46908461583695188</v>
      </c>
      <c r="G29" s="1">
        <f>G8/SQRT(SUMSQ($G$4:$G$16))</f>
        <v>0.40995989608401706</v>
      </c>
      <c r="H29" s="1">
        <f>H8/SQRT(SUMSQ($H$4:$H$16))</f>
        <v>0.20450412034760085</v>
      </c>
      <c r="I29" s="1">
        <f>I8/SQRT(SUMSQ($I$4:$I$16))</f>
        <v>0.30491470289301431</v>
      </c>
      <c r="J29" s="1">
        <f>J8/SQRT(SUMSQ($J$4:$J$16))</f>
        <v>0.28219594290217487</v>
      </c>
      <c r="K29"/>
      <c r="L29"/>
      <c r="M29" s="14"/>
      <c r="N29"/>
      <c r="O29"/>
      <c r="P29"/>
      <c r="Q29"/>
    </row>
    <row r="30" spans="2:17" x14ac:dyDescent="0.45">
      <c r="B30" s="5" t="s">
        <v>44</v>
      </c>
      <c r="C30" s="1">
        <f>C9/SQRT(SUMSQ($C$4:$C$16))</f>
        <v>0.50376373331104618</v>
      </c>
      <c r="D30" s="1">
        <f>D9/SQRT(SUMSQ($D$4:$D$16))</f>
        <v>0.26530097033238698</v>
      </c>
      <c r="E30" s="1">
        <f>E9/SQRT(SUMSQ($E$4:$E$16))</f>
        <v>0.20306333878689353</v>
      </c>
      <c r="F30" s="1">
        <f>F9/SQRT(SUMSQ($F$4:$F$16))</f>
        <v>0.11645677094563216</v>
      </c>
      <c r="G30" s="1">
        <f>G9/SQRT(SUMSQ($G$4:$G$16))</f>
        <v>3.3640659066699594E-2</v>
      </c>
      <c r="H30" s="1">
        <f>H9/SQRT(SUMSQ($H$4:$H$16))</f>
        <v>0.15068110834850318</v>
      </c>
      <c r="I30" s="1">
        <f>I9/SQRT(SUMSQ($I$4:$I$16))</f>
        <v>0.27275573032226669</v>
      </c>
      <c r="J30" s="1">
        <f>J9/SQRT(SUMSQ($J$4:$J$16))</f>
        <v>0.16642324837820568</v>
      </c>
      <c r="K30"/>
      <c r="L30"/>
      <c r="M30" s="14"/>
      <c r="N30"/>
    </row>
    <row r="31" spans="2:17" x14ac:dyDescent="0.45">
      <c r="B31" s="5" t="s">
        <v>45</v>
      </c>
      <c r="C31" s="1">
        <f>C10/SQRT(SUMSQ($C$4:$C$16))</f>
        <v>0.42730652571299066</v>
      </c>
      <c r="D31" s="1">
        <f>D10/SQRT(SUMSQ($D$4:$D$16))</f>
        <v>0.28040403309029943</v>
      </c>
      <c r="E31" s="1">
        <f>E10/SQRT(SUMSQ($E$4:$E$16))</f>
        <v>0.30815590445381569</v>
      </c>
      <c r="F31" s="1">
        <f>F10/SQRT(SUMSQ($F$4:$F$16))</f>
        <v>0.14577455943544165</v>
      </c>
      <c r="G31" s="1">
        <f>G10/SQRT(SUMSQ($G$4:$G$16))</f>
        <v>8.7047581087844147E-2</v>
      </c>
      <c r="H31" s="1">
        <f>H10/SQRT(SUMSQ($H$4:$H$16))</f>
        <v>0.25278738571623888</v>
      </c>
      <c r="I31" s="1">
        <f>I10/SQRT(SUMSQ($I$4:$I$16))</f>
        <v>0.21915744270435406</v>
      </c>
      <c r="J31" s="1">
        <f>J10/SQRT(SUMSQ($J$4:$J$16))</f>
        <v>0.14833376485883548</v>
      </c>
      <c r="K31"/>
      <c r="L31"/>
      <c r="M31" s="14"/>
      <c r="N31"/>
    </row>
    <row r="32" spans="2:17" x14ac:dyDescent="0.45">
      <c r="B32" s="5" t="s">
        <v>46</v>
      </c>
      <c r="C32" s="1">
        <f>C11/SQRT(SUMSQ($C$4:$C$16))</f>
        <v>0.17911168175889663</v>
      </c>
      <c r="D32" s="1">
        <f>D11/SQRT(SUMSQ($D$4:$D$16))</f>
        <v>0.33525949688083062</v>
      </c>
      <c r="E32" s="1">
        <f>E11/SQRT(SUMSQ($E$4:$E$16))</f>
        <v>0.31501939364414139</v>
      </c>
      <c r="F32" s="1">
        <f>F11/SQRT(SUMSQ($F$4:$F$16))</f>
        <v>0.41533533693896779</v>
      </c>
      <c r="G32" s="1">
        <f>G11/SQRT(SUMSQ($G$4:$G$16))</f>
        <v>0.31892105036114077</v>
      </c>
      <c r="H32" s="1">
        <f>H11/SQRT(SUMSQ($H$4:$H$16))</f>
        <v>0.22619660189003243</v>
      </c>
      <c r="I32" s="1">
        <f>I11/SQRT(SUMSQ($I$4:$I$16))</f>
        <v>0.26918251114773917</v>
      </c>
      <c r="J32" s="1">
        <f>J11/SQRT(SUMSQ($J$4:$J$16))</f>
        <v>0.16461430002626867</v>
      </c>
      <c r="K32"/>
      <c r="L32"/>
      <c r="M32" s="14"/>
      <c r="N32"/>
    </row>
    <row r="33" spans="2:14" x14ac:dyDescent="0.45">
      <c r="B33" s="5" t="s">
        <v>47</v>
      </c>
      <c r="C33" s="1">
        <f>C12/SQRT(SUMSQ($C$4:$C$16))</f>
        <v>0.14651063892520796</v>
      </c>
      <c r="D33" s="1">
        <f>D12/SQRT(SUMSQ($D$4:$D$16))</f>
        <v>0.2298230210237058</v>
      </c>
      <c r="E33" s="1">
        <f>E12/SQRT(SUMSQ($E$4:$E$16))</f>
        <v>0.27417056281784824</v>
      </c>
      <c r="F33" s="1">
        <f>F12/SQRT(SUMSQ($F$4:$F$16))</f>
        <v>0.34774154680968483</v>
      </c>
      <c r="G33" s="1">
        <f>G12/SQRT(SUMSQ($G$4:$G$16))</f>
        <v>0.15927046495985459</v>
      </c>
      <c r="H33" s="1">
        <f>H12/SQRT(SUMSQ($H$4:$H$16))</f>
        <v>0.3194392846490326</v>
      </c>
      <c r="I33" s="1">
        <f>I12/SQRT(SUMSQ($I$4:$I$16))</f>
        <v>0.15007520533015548</v>
      </c>
      <c r="J33" s="1">
        <f>J12/SQRT(SUMSQ($J$4:$J$16))</f>
        <v>8.1402675837165817E-2</v>
      </c>
      <c r="K33"/>
      <c r="L33"/>
      <c r="M33" s="14"/>
      <c r="N33"/>
    </row>
    <row r="34" spans="2:14" x14ac:dyDescent="0.45">
      <c r="B34" s="5" t="s">
        <v>48</v>
      </c>
      <c r="C34" s="1">
        <f>C13/SQRT(SUMSQ($C$4:$C$16))</f>
        <v>0.3213531365035025</v>
      </c>
      <c r="D34" s="1">
        <f>D13/SQRT(SUMSQ($D$4:$D$16))</f>
        <v>0.2831824267108588</v>
      </c>
      <c r="E34" s="1">
        <f>E13/SQRT(SUMSQ($E$4:$E$16))</f>
        <v>0.41428168354723854</v>
      </c>
      <c r="F34" s="1">
        <f>F13/SQRT(SUMSQ($F$4:$F$16))</f>
        <v>0.19545192326539662</v>
      </c>
      <c r="G34" s="1">
        <f>G13/SQRT(SUMSQ($G$4:$G$16))</f>
        <v>0.39485010853710961</v>
      </c>
      <c r="H34" s="1">
        <f>H13/SQRT(SUMSQ($H$4:$H$16))</f>
        <v>0.32632023309528779</v>
      </c>
      <c r="I34" s="1">
        <f>I13/SQRT(SUMSQ($I$4:$I$16))</f>
        <v>0.20129134683171648</v>
      </c>
      <c r="J34" s="1">
        <f>J13/SQRT(SUMSQ($J$4:$J$16))</f>
        <v>0.13205322969140232</v>
      </c>
      <c r="K34"/>
      <c r="L34"/>
    </row>
    <row r="35" spans="2:14" x14ac:dyDescent="0.45">
      <c r="B35" s="5" t="s">
        <v>49</v>
      </c>
      <c r="C35" s="1">
        <f>C14/SQRT(SUMSQ($C$4:$C$16))</f>
        <v>0.15951224529340521</v>
      </c>
      <c r="D35" s="1">
        <f>D14/SQRT(SUMSQ($D$4:$D$16))</f>
        <v>0.14818099309649971</v>
      </c>
      <c r="E35" s="1">
        <f>E14/SQRT(SUMSQ($E$4:$E$16))</f>
        <v>0.31129244521283556</v>
      </c>
      <c r="F35" s="1">
        <f>F14/SQRT(SUMSQ($F$4:$F$16))</f>
        <v>0.20603890244227227</v>
      </c>
      <c r="G35" s="1">
        <f>G14/SQRT(SUMSQ($G$4:$G$16))</f>
        <v>0.33003957327301603</v>
      </c>
      <c r="H35" s="1">
        <f>H14/SQRT(SUMSQ($H$4:$H$16))</f>
        <v>0.44842791145510424</v>
      </c>
      <c r="I35" s="1">
        <f>I14/SQRT(SUMSQ($I$4:$I$16))</f>
        <v>0.14650198615562796</v>
      </c>
      <c r="J35" s="1">
        <f>J14/SQRT(SUMSQ($J$4:$J$16))</f>
        <v>0.17727693848982778</v>
      </c>
      <c r="K35"/>
      <c r="L35"/>
    </row>
    <row r="36" spans="2:14" x14ac:dyDescent="0.45">
      <c r="B36" s="5" t="s">
        <v>50</v>
      </c>
      <c r="C36" s="1">
        <f>C15/SQRT(SUMSQ($C$4:$C$16))</f>
        <v>8.0338284125875625E-2</v>
      </c>
      <c r="D36" s="1">
        <f>D15/SQRT(SUMSQ($D$4:$D$16))</f>
        <v>2.6074155516018698E-2</v>
      </c>
      <c r="E36" s="1">
        <f>E15/SQRT(SUMSQ($E$4:$E$16))</f>
        <v>0.14963144444500334</v>
      </c>
      <c r="F36" s="1">
        <f>F15/SQRT(SUMSQ($F$4:$F$16))</f>
        <v>7.1665705197312093E-2</v>
      </c>
      <c r="G36" s="1">
        <f>G15/SQRT(SUMSQ($G$4:$G$16))</f>
        <v>0.43343233334242043</v>
      </c>
      <c r="H36" s="1">
        <f>H15/SQRT(SUMSQ($H$4:$H$16))</f>
        <v>0.54167059421410446</v>
      </c>
      <c r="I36" s="1">
        <f>I15/SQRT(SUMSQ($I$4:$I$16))</f>
        <v>0.12506267110846292</v>
      </c>
      <c r="J36" s="1">
        <f>J15/SQRT(SUMSQ($J$4:$J$16))</f>
        <v>0.17365904178595373</v>
      </c>
      <c r="K36"/>
      <c r="L36"/>
    </row>
    <row r="37" spans="2:14" customFormat="1" x14ac:dyDescent="0.45"/>
    <row r="38" spans="2:14" x14ac:dyDescent="0.45">
      <c r="K38"/>
      <c r="L38"/>
    </row>
    <row r="39" spans="2:14" x14ac:dyDescent="0.45">
      <c r="C39" s="22" t="s">
        <v>25</v>
      </c>
      <c r="D39" s="22"/>
      <c r="E39" s="22"/>
      <c r="F39" s="22"/>
      <c r="G39" s="22"/>
      <c r="H39" s="22"/>
      <c r="I39" s="22"/>
      <c r="J39" s="22"/>
      <c r="K39"/>
      <c r="L39"/>
    </row>
    <row r="40" spans="2:14" x14ac:dyDescent="0.45">
      <c r="B40" s="1"/>
      <c r="C40" s="5" t="s">
        <v>0</v>
      </c>
      <c r="D40" s="5" t="s">
        <v>1</v>
      </c>
      <c r="E40" s="5" t="s">
        <v>2</v>
      </c>
      <c r="F40" s="5" t="s">
        <v>3</v>
      </c>
      <c r="G40" s="5" t="s">
        <v>4</v>
      </c>
      <c r="H40" s="5" t="s">
        <v>5</v>
      </c>
      <c r="I40" s="5" t="s">
        <v>6</v>
      </c>
      <c r="J40" s="5" t="s">
        <v>7</v>
      </c>
      <c r="K40"/>
      <c r="L40"/>
    </row>
    <row r="41" spans="2:14" x14ac:dyDescent="0.45">
      <c r="B41" s="5" t="s">
        <v>39</v>
      </c>
      <c r="C41" s="1">
        <f t="shared" ref="C41:J52" si="0">C25*C$18</f>
        <v>2.1811650086348847E-2</v>
      </c>
      <c r="D41" s="1">
        <f t="shared" si="0"/>
        <v>3.5499321567300866E-2</v>
      </c>
      <c r="E41" s="1">
        <f t="shared" si="0"/>
        <v>2.830266779021395E-2</v>
      </c>
      <c r="F41" s="1">
        <f t="shared" si="0"/>
        <v>3.6077167502737796E-2</v>
      </c>
      <c r="G41" s="1">
        <f t="shared" si="0"/>
        <v>1.2543974567243916E-2</v>
      </c>
      <c r="H41" s="1">
        <f t="shared" si="0"/>
        <v>1.7814658901109798E-2</v>
      </c>
      <c r="I41" s="1">
        <f t="shared" si="0"/>
        <v>2.5250748833327747E-2</v>
      </c>
      <c r="J41" s="1">
        <f t="shared" si="0"/>
        <v>2.6953330443861574E-2</v>
      </c>
      <c r="K41"/>
      <c r="L41"/>
    </row>
    <row r="42" spans="2:14" x14ac:dyDescent="0.45">
      <c r="B42" s="5" t="s">
        <v>40</v>
      </c>
      <c r="C42" s="1">
        <f t="shared" si="0"/>
        <v>2.1501163964123236E-2</v>
      </c>
      <c r="D42" s="1">
        <f t="shared" si="0"/>
        <v>3.4936518756982435E-2</v>
      </c>
      <c r="E42" s="1">
        <f t="shared" si="0"/>
        <v>2.7239933980099003E-2</v>
      </c>
      <c r="F42" s="1">
        <f t="shared" si="0"/>
        <v>3.6077167502737796E-2</v>
      </c>
      <c r="G42" s="1">
        <f t="shared" si="0"/>
        <v>1.9291112402655419E-2</v>
      </c>
      <c r="H42" s="1">
        <f t="shared" si="0"/>
        <v>1.425172712088784E-2</v>
      </c>
      <c r="I42" s="1">
        <f t="shared" si="0"/>
        <v>3.8590767084897129E-2</v>
      </c>
      <c r="J42" s="1">
        <f t="shared" si="0"/>
        <v>3.1475701323704114E-2</v>
      </c>
      <c r="K42"/>
      <c r="L42"/>
    </row>
    <row r="43" spans="2:14" x14ac:dyDescent="0.45">
      <c r="B43" s="5" t="s">
        <v>41</v>
      </c>
      <c r="C43" s="1">
        <f t="shared" si="0"/>
        <v>4.5136920018547522E-2</v>
      </c>
      <c r="D43" s="1">
        <f t="shared" si="0"/>
        <v>2.438574708506339E-2</v>
      </c>
      <c r="E43" s="1">
        <f t="shared" si="0"/>
        <v>2.477498194830462E-2</v>
      </c>
      <c r="F43" s="1">
        <f t="shared" si="0"/>
        <v>1.1971430300005545E-2</v>
      </c>
      <c r="G43" s="1">
        <f t="shared" si="0"/>
        <v>4.3523790543922077E-3</v>
      </c>
      <c r="H43" s="1">
        <f t="shared" si="0"/>
        <v>2.3126984354108496E-2</v>
      </c>
      <c r="I43" s="1">
        <f t="shared" si="0"/>
        <v>1.8223417790090311E-2</v>
      </c>
      <c r="J43" s="1">
        <f t="shared" si="0"/>
        <v>1.4109797145108745E-2</v>
      </c>
      <c r="K43"/>
      <c r="L43"/>
    </row>
    <row r="44" spans="2:14" x14ac:dyDescent="0.45">
      <c r="B44" s="5" t="s">
        <v>42</v>
      </c>
      <c r="C44" s="1">
        <f t="shared" si="0"/>
        <v>2.1151867076619431E-2</v>
      </c>
      <c r="D44" s="1">
        <f t="shared" si="0"/>
        <v>3.5990883515553677E-2</v>
      </c>
      <c r="E44" s="1">
        <f t="shared" si="0"/>
        <v>2.3970551494814835E-2</v>
      </c>
      <c r="F44" s="1">
        <f t="shared" si="0"/>
        <v>3.0213609804775901E-2</v>
      </c>
      <c r="G44" s="1">
        <f t="shared" si="0"/>
        <v>4.3428760433564167E-2</v>
      </c>
      <c r="H44" s="1">
        <f t="shared" si="0"/>
        <v>1.088705995691391E-2</v>
      </c>
      <c r="I44" s="1">
        <f t="shared" si="0"/>
        <v>6.0506511355332526E-2</v>
      </c>
      <c r="J44" s="1">
        <f t="shared" si="0"/>
        <v>7.5252251440579968E-2</v>
      </c>
      <c r="K44"/>
      <c r="L44"/>
    </row>
    <row r="45" spans="2:14" x14ac:dyDescent="0.45">
      <c r="B45" s="5" t="s">
        <v>43</v>
      </c>
      <c r="C45" s="1">
        <f t="shared" si="0"/>
        <v>1.8066411237002467E-2</v>
      </c>
      <c r="D45" s="1">
        <f t="shared" si="0"/>
        <v>3.8192226153381491E-2</v>
      </c>
      <c r="E45" s="1">
        <f t="shared" si="0"/>
        <v>3.540232004945406E-2</v>
      </c>
      <c r="F45" s="1">
        <f t="shared" si="0"/>
        <v>4.6908461583695188E-2</v>
      </c>
      <c r="G45" s="1">
        <f t="shared" si="0"/>
        <v>4.0995989608401708E-2</v>
      </c>
      <c r="H45" s="1">
        <f t="shared" si="0"/>
        <v>2.0450412034760085E-2</v>
      </c>
      <c r="I45" s="1">
        <f t="shared" si="0"/>
        <v>3.0491470289301433E-2</v>
      </c>
      <c r="J45" s="1">
        <f t="shared" si="0"/>
        <v>2.821959429021749E-2</v>
      </c>
      <c r="K45"/>
      <c r="L45"/>
    </row>
    <row r="46" spans="2:14" x14ac:dyDescent="0.45">
      <c r="B46" s="5" t="s">
        <v>44</v>
      </c>
      <c r="C46" s="1">
        <f t="shared" si="0"/>
        <v>5.0376373331104618E-2</v>
      </c>
      <c r="D46" s="1">
        <f t="shared" si="0"/>
        <v>2.6530097033238699E-2</v>
      </c>
      <c r="E46" s="1">
        <f t="shared" si="0"/>
        <v>2.0306333878689353E-2</v>
      </c>
      <c r="F46" s="1">
        <f t="shared" si="0"/>
        <v>1.1645677094563217E-2</v>
      </c>
      <c r="G46" s="1">
        <f t="shared" si="0"/>
        <v>3.3640659066699594E-3</v>
      </c>
      <c r="H46" s="1">
        <f t="shared" si="0"/>
        <v>1.5068110834850318E-2</v>
      </c>
      <c r="I46" s="1">
        <f t="shared" si="0"/>
        <v>2.727557303222667E-2</v>
      </c>
      <c r="J46" s="1">
        <f t="shared" si="0"/>
        <v>1.664232483782057E-2</v>
      </c>
      <c r="K46"/>
      <c r="L46"/>
    </row>
    <row r="47" spans="2:14" x14ac:dyDescent="0.45">
      <c r="B47" s="5" t="s">
        <v>45</v>
      </c>
      <c r="C47" s="1">
        <f t="shared" si="0"/>
        <v>4.2730652571299071E-2</v>
      </c>
      <c r="D47" s="1">
        <f t="shared" si="0"/>
        <v>2.8040403309029946E-2</v>
      </c>
      <c r="E47" s="1">
        <f t="shared" si="0"/>
        <v>3.0815590445381569E-2</v>
      </c>
      <c r="F47" s="1">
        <f t="shared" si="0"/>
        <v>1.4577455943544166E-2</v>
      </c>
      <c r="G47" s="1">
        <f t="shared" si="0"/>
        <v>8.7047581087844154E-3</v>
      </c>
      <c r="H47" s="1">
        <f t="shared" si="0"/>
        <v>2.5278738571623889E-2</v>
      </c>
      <c r="I47" s="1">
        <f t="shared" si="0"/>
        <v>2.1915744270435408E-2</v>
      </c>
      <c r="J47" s="1">
        <f t="shared" si="0"/>
        <v>1.4833376485883549E-2</v>
      </c>
      <c r="K47"/>
      <c r="L47"/>
    </row>
    <row r="48" spans="2:14" x14ac:dyDescent="0.45">
      <c r="B48" s="5" t="s">
        <v>46</v>
      </c>
      <c r="C48" s="1">
        <f t="shared" si="0"/>
        <v>1.7911168175889666E-2</v>
      </c>
      <c r="D48" s="1">
        <f t="shared" si="0"/>
        <v>3.3525949688083062E-2</v>
      </c>
      <c r="E48" s="1">
        <f t="shared" si="0"/>
        <v>3.1501939364414137E-2</v>
      </c>
      <c r="F48" s="1">
        <f t="shared" si="0"/>
        <v>4.1533533693896785E-2</v>
      </c>
      <c r="G48" s="1">
        <f t="shared" si="0"/>
        <v>3.1892105036114081E-2</v>
      </c>
      <c r="H48" s="1">
        <f t="shared" si="0"/>
        <v>2.2619660189003243E-2</v>
      </c>
      <c r="I48" s="1">
        <f t="shared" si="0"/>
        <v>2.6918251114773917E-2</v>
      </c>
      <c r="J48" s="1">
        <f t="shared" si="0"/>
        <v>1.6461430002626867E-2</v>
      </c>
      <c r="K48"/>
      <c r="L48"/>
    </row>
    <row r="49" spans="2:24" x14ac:dyDescent="0.45">
      <c r="B49" s="5" t="s">
        <v>47</v>
      </c>
      <c r="C49" s="1">
        <f t="shared" si="0"/>
        <v>1.4651063892520797E-2</v>
      </c>
      <c r="D49" s="1">
        <f t="shared" si="0"/>
        <v>2.298230210237058E-2</v>
      </c>
      <c r="E49" s="1">
        <f t="shared" si="0"/>
        <v>2.7417056281784827E-2</v>
      </c>
      <c r="F49" s="1">
        <f t="shared" si="0"/>
        <v>3.4774154680968485E-2</v>
      </c>
      <c r="G49" s="1">
        <f t="shared" si="0"/>
        <v>1.5927046495985458E-2</v>
      </c>
      <c r="H49" s="1">
        <f t="shared" si="0"/>
        <v>3.1943928464903258E-2</v>
      </c>
      <c r="I49" s="1">
        <f t="shared" si="0"/>
        <v>1.5007520533015548E-2</v>
      </c>
      <c r="J49" s="1">
        <f t="shared" si="0"/>
        <v>8.1402675837165817E-3</v>
      </c>
      <c r="K49"/>
      <c r="L49"/>
    </row>
    <row r="50" spans="2:24" x14ac:dyDescent="0.45">
      <c r="B50" s="5" t="s">
        <v>48</v>
      </c>
      <c r="C50" s="1">
        <f t="shared" si="0"/>
        <v>3.2135313650350252E-2</v>
      </c>
      <c r="D50" s="1">
        <f t="shared" si="0"/>
        <v>2.8318242671085882E-2</v>
      </c>
      <c r="E50" s="1">
        <f t="shared" si="0"/>
        <v>4.1428168354723856E-2</v>
      </c>
      <c r="F50" s="1">
        <f t="shared" si="0"/>
        <v>1.9545192326539663E-2</v>
      </c>
      <c r="G50" s="1">
        <f t="shared" si="0"/>
        <v>3.9485010853710964E-2</v>
      </c>
      <c r="H50" s="1">
        <f t="shared" si="0"/>
        <v>3.2632023309528781E-2</v>
      </c>
      <c r="I50" s="1">
        <f t="shared" si="0"/>
        <v>2.0129134683171651E-2</v>
      </c>
      <c r="J50" s="1">
        <f t="shared" si="0"/>
        <v>1.3205322969140232E-2</v>
      </c>
      <c r="K50"/>
      <c r="L50"/>
    </row>
    <row r="51" spans="2:24" x14ac:dyDescent="0.45">
      <c r="B51" s="5" t="s">
        <v>49</v>
      </c>
      <c r="C51" s="1">
        <f t="shared" si="0"/>
        <v>1.5951224529340523E-2</v>
      </c>
      <c r="D51" s="1">
        <f t="shared" si="0"/>
        <v>1.4818099309649972E-2</v>
      </c>
      <c r="E51" s="1">
        <f t="shared" si="0"/>
        <v>3.1129244521283558E-2</v>
      </c>
      <c r="F51" s="1">
        <f t="shared" si="0"/>
        <v>2.0603890244227228E-2</v>
      </c>
      <c r="G51" s="1">
        <f t="shared" si="0"/>
        <v>3.3003957327301603E-2</v>
      </c>
      <c r="H51" s="1">
        <f t="shared" si="0"/>
        <v>4.484279114551043E-2</v>
      </c>
      <c r="I51" s="1">
        <f t="shared" si="0"/>
        <v>1.4650198615562797E-2</v>
      </c>
      <c r="J51" s="1">
        <f t="shared" si="0"/>
        <v>1.7727693848982779E-2</v>
      </c>
      <c r="K51"/>
      <c r="L51"/>
    </row>
    <row r="52" spans="2:24" x14ac:dyDescent="0.45">
      <c r="B52" s="5" t="s">
        <v>50</v>
      </c>
      <c r="C52" s="1">
        <f t="shared" si="0"/>
        <v>8.0338284125875629E-3</v>
      </c>
      <c r="D52" s="1">
        <f t="shared" si="0"/>
        <v>2.6074155516018702E-3</v>
      </c>
      <c r="E52" s="1">
        <f t="shared" si="0"/>
        <v>1.4963144444500335E-2</v>
      </c>
      <c r="F52" s="1">
        <f t="shared" si="0"/>
        <v>7.16657051973121E-3</v>
      </c>
      <c r="G52" s="1">
        <f t="shared" si="0"/>
        <v>4.3343233334242046E-2</v>
      </c>
      <c r="H52" s="1">
        <f t="shared" si="0"/>
        <v>5.4167059421410452E-2</v>
      </c>
      <c r="I52" s="1">
        <f t="shared" si="0"/>
        <v>1.2506267110846292E-2</v>
      </c>
      <c r="J52" s="1">
        <f t="shared" si="0"/>
        <v>1.7365904178595373E-2</v>
      </c>
      <c r="K52"/>
      <c r="L52"/>
    </row>
    <row r="53" spans="2:24" customFormat="1" x14ac:dyDescent="0.45"/>
    <row r="54" spans="2:24" x14ac:dyDescent="0.45">
      <c r="K54"/>
      <c r="L54"/>
    </row>
    <row r="55" spans="2:24" x14ac:dyDescent="0.45">
      <c r="C55" s="22" t="s">
        <v>31</v>
      </c>
      <c r="D55" s="22"/>
      <c r="E55" s="22"/>
      <c r="F55" s="22"/>
      <c r="G55" s="22"/>
      <c r="H55" s="22"/>
      <c r="I55" s="22"/>
      <c r="J55" s="22"/>
      <c r="K55"/>
      <c r="L55"/>
    </row>
    <row r="56" spans="2:24" x14ac:dyDescent="0.45">
      <c r="C56" s="7" t="s">
        <v>0</v>
      </c>
      <c r="D56" s="7" t="s">
        <v>1</v>
      </c>
      <c r="E56" s="7" t="s">
        <v>2</v>
      </c>
      <c r="F56" s="7" t="s">
        <v>3</v>
      </c>
      <c r="G56" s="7" t="s">
        <v>4</v>
      </c>
      <c r="H56" s="7" t="s">
        <v>5</v>
      </c>
      <c r="I56" s="7" t="s">
        <v>6</v>
      </c>
      <c r="J56" s="7" t="s">
        <v>7</v>
      </c>
      <c r="K56"/>
      <c r="L56"/>
    </row>
    <row r="57" spans="2:24" x14ac:dyDescent="0.45">
      <c r="B57" s="8" t="s">
        <v>26</v>
      </c>
      <c r="C57" s="1">
        <f>IF(C$17=1,MAX(C$41:C$53),MIN(C$41:C$53))</f>
        <v>5.0376373331104618E-2</v>
      </c>
      <c r="D57" s="1">
        <f>IF(D$17=1,MAX(D$41:D$53),MIN(D$41:D$53))</f>
        <v>3.8192226153381491E-2</v>
      </c>
      <c r="E57" s="1">
        <f>IF(E$17=1,MAX(E$41:E$53),MIN(E$41:E$53))</f>
        <v>4.1428168354723856E-2</v>
      </c>
      <c r="F57" s="1">
        <f>IF(F$17=1,MAX(F$41:F$53),MIN(F$41:F$53))</f>
        <v>4.6908461583695188E-2</v>
      </c>
      <c r="G57" s="1">
        <f>IF(G$17=1,MAX(G$41:G$53),MIN(G$41:G$53))</f>
        <v>4.3428760433564167E-2</v>
      </c>
      <c r="H57" s="1">
        <f>IF(H$17=1,MAX(H$41:H$53),MIN(H$41:H$53))</f>
        <v>1.088705995691391E-2</v>
      </c>
      <c r="I57" s="1">
        <f>IF(I$17=1,MAX(I$41:I$53),MIN(I$41:I$53))</f>
        <v>6.0506511355332526E-2</v>
      </c>
      <c r="J57" s="1">
        <f>IF(J$17=1,MAX(J$41:J$53),MIN(J$41:J$53))</f>
        <v>7.5252251440579968E-2</v>
      </c>
      <c r="K57"/>
      <c r="L57"/>
    </row>
    <row r="58" spans="2:24" x14ac:dyDescent="0.45">
      <c r="B58" s="9" t="s">
        <v>27</v>
      </c>
      <c r="C58" s="1">
        <f>IF(C$17=1,MIN(C$41:C$53),MAX(C$41:C$53))</f>
        <v>8.0338284125875629E-3</v>
      </c>
      <c r="D58" s="1">
        <f>IF(D$17=1,MIN(D$41:D$53),MAX(D$41:D$53))</f>
        <v>2.6074155516018702E-3</v>
      </c>
      <c r="E58" s="1">
        <f>IF(E$17=1,MIN(E$41:E$53),MAX(E$41:E$53))</f>
        <v>1.4963144444500335E-2</v>
      </c>
      <c r="F58" s="1">
        <f>IF(F$17=1,MIN(F$41:F$53),MAX(F$41:F$53))</f>
        <v>7.16657051973121E-3</v>
      </c>
      <c r="G58" s="1">
        <f>IF(G$17=1,MIN(G$41:G$53),MAX(G$41:G$53))</f>
        <v>3.3640659066699594E-3</v>
      </c>
      <c r="H58" s="1">
        <f>IF(H$17=1,MIN(H$41:H$53),MAX(H$41:H$53))</f>
        <v>5.4167059421410452E-2</v>
      </c>
      <c r="I58" s="1">
        <f>IF(I$17=1,MIN(I$41:I$53),MAX(I$41:I$53))</f>
        <v>1.2506267110846292E-2</v>
      </c>
      <c r="J58" s="1">
        <f>IF(J$17=1,MIN(J$41:J$53),MAX(J$41:J$53))</f>
        <v>8.1402675837165817E-3</v>
      </c>
      <c r="K58"/>
      <c r="L58"/>
    </row>
    <row r="59" spans="2:24" x14ac:dyDescent="0.45">
      <c r="K59"/>
      <c r="L59"/>
    </row>
    <row r="60" spans="2:24" x14ac:dyDescent="0.45">
      <c r="K60"/>
      <c r="L60"/>
      <c r="W60"/>
    </row>
    <row r="61" spans="2:24" x14ac:dyDescent="0.45">
      <c r="C61" s="22" t="s">
        <v>30</v>
      </c>
      <c r="D61" s="22"/>
      <c r="E61" s="22"/>
      <c r="F61" s="22"/>
      <c r="G61" s="22"/>
      <c r="H61" s="22"/>
      <c r="I61" s="22"/>
      <c r="J61" s="22"/>
      <c r="K61"/>
      <c r="L61"/>
      <c r="O61" s="22" t="s">
        <v>35</v>
      </c>
      <c r="P61" s="22"/>
      <c r="Q61" s="22"/>
      <c r="R61" s="22"/>
      <c r="S61" s="22"/>
      <c r="T61" s="22"/>
      <c r="U61" s="22"/>
      <c r="V61" s="22"/>
      <c r="W61"/>
      <c r="X61"/>
    </row>
    <row r="62" spans="2:24" x14ac:dyDescent="0.45">
      <c r="C62" s="28"/>
      <c r="D62" s="28"/>
      <c r="E62" s="28"/>
      <c r="F62" s="28"/>
      <c r="G62" s="28"/>
      <c r="H62" s="28"/>
      <c r="I62" s="28"/>
      <c r="J62" s="28"/>
      <c r="K62"/>
      <c r="L62"/>
      <c r="O62" s="28"/>
      <c r="P62" s="28"/>
      <c r="Q62" s="28"/>
      <c r="R62" s="28"/>
      <c r="S62" s="28"/>
      <c r="T62" s="28"/>
      <c r="U62" s="28"/>
      <c r="V62" s="28"/>
      <c r="W62"/>
      <c r="X62"/>
    </row>
    <row r="63" spans="2:24" x14ac:dyDescent="0.45">
      <c r="C63" s="28"/>
      <c r="D63" s="28"/>
      <c r="E63" s="28"/>
      <c r="F63" s="28"/>
      <c r="G63" s="28"/>
      <c r="H63" s="28"/>
      <c r="I63" s="28"/>
      <c r="J63" s="28"/>
      <c r="K63"/>
      <c r="L63"/>
      <c r="O63" s="28"/>
      <c r="P63" s="28"/>
      <c r="Q63" s="28"/>
      <c r="R63" s="28"/>
      <c r="S63" s="28"/>
      <c r="T63" s="28"/>
      <c r="U63" s="28"/>
      <c r="V63" s="28"/>
      <c r="W63"/>
      <c r="X63"/>
    </row>
    <row r="64" spans="2:24" x14ac:dyDescent="0.45">
      <c r="B64" s="1"/>
      <c r="C64" s="5" t="s">
        <v>0</v>
      </c>
      <c r="D64" s="5" t="s">
        <v>1</v>
      </c>
      <c r="E64" s="5" t="s">
        <v>2</v>
      </c>
      <c r="F64" s="5" t="s">
        <v>3</v>
      </c>
      <c r="G64" s="5" t="s">
        <v>4</v>
      </c>
      <c r="H64" s="5" t="s">
        <v>5</v>
      </c>
      <c r="I64" s="5" t="s">
        <v>6</v>
      </c>
      <c r="J64" s="5" t="s">
        <v>7</v>
      </c>
      <c r="K64"/>
      <c r="L64"/>
      <c r="N64" s="1"/>
      <c r="O64" s="5" t="s">
        <v>0</v>
      </c>
      <c r="P64" s="5" t="s">
        <v>1</v>
      </c>
      <c r="Q64" s="5" t="s">
        <v>2</v>
      </c>
      <c r="R64" s="5" t="s">
        <v>3</v>
      </c>
      <c r="S64" s="5" t="s">
        <v>4</v>
      </c>
      <c r="T64" s="5" t="s">
        <v>5</v>
      </c>
      <c r="U64" s="5" t="s">
        <v>6</v>
      </c>
      <c r="V64" s="5" t="s">
        <v>7</v>
      </c>
      <c r="W64"/>
      <c r="X64"/>
    </row>
    <row r="65" spans="2:24" x14ac:dyDescent="0.45">
      <c r="B65" s="5" t="s">
        <v>39</v>
      </c>
      <c r="C65" s="1">
        <f>POWER((C41-C$57),2)</f>
        <v>8.1594341404949073E-4</v>
      </c>
      <c r="D65" s="1">
        <f>POWER((D41-D$57),2)</f>
        <v>7.2517351097340597E-6</v>
      </c>
      <c r="E65" s="1">
        <f>POWER((E41-E$57),2)</f>
        <v>1.7227876506894986E-4</v>
      </c>
      <c r="F65" s="1">
        <f>POWER((F41-F$57),2)</f>
        <v>1.1731693146818263E-4</v>
      </c>
      <c r="G65" s="1">
        <f>POWER((G41-G$57),2)</f>
        <v>9.5386999800845505E-4</v>
      </c>
      <c r="H65" s="1">
        <f>POWER((H41-H$57),2)</f>
        <v>4.7991627131623984E-5</v>
      </c>
      <c r="I65" s="1">
        <f>POWER((I41-I$57),2)</f>
        <v>1.2429687910079971E-3</v>
      </c>
      <c r="J65" s="1">
        <f>POWER((J41-J$57),2)</f>
        <v>2.3327857694472455E-3</v>
      </c>
      <c r="K65"/>
      <c r="L65"/>
      <c r="N65" s="5" t="s">
        <v>39</v>
      </c>
      <c r="O65" s="1">
        <f>POWER((C41-C$58),2)</f>
        <v>1.8982837007396619E-4</v>
      </c>
      <c r="P65" s="1">
        <f>POWER((D41-D$58),2)</f>
        <v>1.0818774813455758E-3</v>
      </c>
      <c r="Q65" s="1">
        <f>POWER((E41-E$58),2)</f>
        <v>1.7794288309083854E-4</v>
      </c>
      <c r="R65" s="1">
        <f>POWER((F41-F$58),2)</f>
        <v>8.3582261791382954E-4</v>
      </c>
      <c r="S65" s="1">
        <f>POWER((G41-G$58),2)</f>
        <v>8.4270723016480743E-5</v>
      </c>
      <c r="T65" s="1">
        <f>POWER((H41-H$58),2)</f>
        <v>1.3214970235883555E-3</v>
      </c>
      <c r="U65" s="1">
        <f>POWER((I41-I$58),2)</f>
        <v>1.6242181437466386E-4</v>
      </c>
      <c r="V65" s="1">
        <f>POWER((J41-J$58),2)</f>
        <v>3.5393133417976685E-4</v>
      </c>
      <c r="W65"/>
      <c r="X65"/>
    </row>
    <row r="66" spans="2:24" x14ac:dyDescent="0.45">
      <c r="B66" s="5" t="s">
        <v>40</v>
      </c>
      <c r="C66" s="1">
        <f>POWER((C42-C$57),2)</f>
        <v>8.3377771598700933E-4</v>
      </c>
      <c r="D66" s="1">
        <f>POWER((D42-D$57),2)</f>
        <v>1.059963065096752E-5</v>
      </c>
      <c r="E66" s="1">
        <f>POWER((E42-E$57),2)</f>
        <v>2.0130599466928629E-4</v>
      </c>
      <c r="F66" s="1">
        <f>POWER((F42-F$57),2)</f>
        <v>1.1731693146818263E-4</v>
      </c>
      <c r="G66" s="1">
        <f>POWER((G42-G$57),2)</f>
        <v>5.8262605246403305E-4</v>
      </c>
      <c r="H66" s="1">
        <f>POWER((H42-H$57),2)</f>
        <v>1.1320985124324368E-5</v>
      </c>
      <c r="I66" s="1">
        <f>POWER((I42-I$57),2)</f>
        <v>4.8029984692712192E-4</v>
      </c>
      <c r="J66" s="1">
        <f>POWER((J42-J$57),2)</f>
        <v>1.9163863401353432E-3</v>
      </c>
      <c r="K66"/>
      <c r="L66"/>
      <c r="N66" s="5" t="s">
        <v>40</v>
      </c>
      <c r="O66" s="1">
        <f>POWER((C42-C$58),2)</f>
        <v>1.8136912685765667E-4</v>
      </c>
      <c r="P66" s="1">
        <f>POWER((D42-D$58),2)</f>
        <v>1.0451709140641479E-3</v>
      </c>
      <c r="Q66" s="1">
        <f>POWER((E42-E$58),2)</f>
        <v>1.5071956130138496E-4</v>
      </c>
      <c r="R66" s="1">
        <f>POWER((F42-F$58),2)</f>
        <v>8.3582261791382954E-4</v>
      </c>
      <c r="S66" s="1">
        <f>POWER((G42-G$58),2)</f>
        <v>2.5367081008528266E-4</v>
      </c>
      <c r="T66" s="1">
        <f>POWER((H42-H$58),2)</f>
        <v>1.5932337526611438E-3</v>
      </c>
      <c r="U66" s="1">
        <f>POWER((I42-I$58),2)</f>
        <v>6.8040113889625807E-4</v>
      </c>
      <c r="V66" s="1">
        <f>POWER((J42-J$58),2)</f>
        <v>5.4454246783334852E-4</v>
      </c>
      <c r="W66"/>
      <c r="X66"/>
    </row>
    <row r="67" spans="2:24" x14ac:dyDescent="0.45">
      <c r="B67" s="5" t="s">
        <v>41</v>
      </c>
      <c r="C67" s="1">
        <f>POWER((C43-C$57),2)</f>
        <v>2.7451871014465528E-5</v>
      </c>
      <c r="D67" s="1">
        <f>POWER((D43-D$57),2)</f>
        <v>1.9061886426390587E-4</v>
      </c>
      <c r="E67" s="1">
        <f>POWER((E43-E$57),2)</f>
        <v>2.7732861748694642E-4</v>
      </c>
      <c r="F67" s="1">
        <f>POWER((F43-F$57),2)</f>
        <v>1.2205961549175087E-3</v>
      </c>
      <c r="G67" s="1">
        <f>POWER((G43-G$57),2)</f>
        <v>1.5269635816904969E-3</v>
      </c>
      <c r="H67" s="1">
        <f>POWER((H43-H$57),2)</f>
        <v>1.4981574924903925E-4</v>
      </c>
      <c r="I67" s="1">
        <f>POWER((I43-I$57),2)</f>
        <v>1.7878600014470277E-3</v>
      </c>
      <c r="J67" s="1">
        <f>POWER((J43-J$57),2)</f>
        <v>3.7383997172737876E-3</v>
      </c>
      <c r="K67"/>
      <c r="L67"/>
      <c r="N67" s="5" t="s">
        <v>41</v>
      </c>
      <c r="O67" s="1">
        <f>POWER((C43-C$58),2)</f>
        <v>1.3766394067202565E-3</v>
      </c>
      <c r="P67" s="1">
        <f>POWER((D43-D$58),2)</f>
        <v>4.7429572438136437E-4</v>
      </c>
      <c r="Q67" s="1">
        <f>POWER((E43-E$58),2)</f>
        <v>9.6272155201060299E-5</v>
      </c>
      <c r="R67" s="1">
        <f>POWER((F43-F$58),2)</f>
        <v>2.3086677508097929E-5</v>
      </c>
      <c r="S67" s="1">
        <f>POWER((G43-G$58),2)</f>
        <v>9.7676287796065863E-7</v>
      </c>
      <c r="T67" s="1">
        <f>POWER((H43-H$58),2)</f>
        <v>9.6348626018374049E-4</v>
      </c>
      <c r="U67" s="1">
        <f>POWER((I43-I$58),2)</f>
        <v>3.2685811889180353E-5</v>
      </c>
      <c r="V67" s="1">
        <f>POWER((J43-J$58),2)</f>
        <v>3.5635283184334909E-5</v>
      </c>
      <c r="W67"/>
      <c r="X67"/>
    </row>
    <row r="68" spans="2:24" x14ac:dyDescent="0.45">
      <c r="B68" s="5" t="s">
        <v>42</v>
      </c>
      <c r="C68" s="1">
        <f>POWER((C44-C$57),2)</f>
        <v>8.5407176581844379E-4</v>
      </c>
      <c r="D68" s="1">
        <f>POWER((D44-D$57),2)</f>
        <v>4.8459094091187153E-6</v>
      </c>
      <c r="E68" s="1">
        <f>POWER((E44-E$57),2)</f>
        <v>3.047683864273797E-4</v>
      </c>
      <c r="F68" s="1">
        <f>POWER((F44-F$57),2)</f>
        <v>2.7871807592008447E-4</v>
      </c>
      <c r="G68" s="1">
        <f>POWER((G44-G$57),2)</f>
        <v>0</v>
      </c>
      <c r="H68" s="1">
        <f>POWER((H44-H$57),2)</f>
        <v>0</v>
      </c>
      <c r="I68" s="1">
        <f>POWER((I44-I$57),2)</f>
        <v>0</v>
      </c>
      <c r="J68" s="1">
        <f>POWER((J44-J$57),2)</f>
        <v>0</v>
      </c>
      <c r="K68"/>
      <c r="L68"/>
      <c r="N68" s="5" t="s">
        <v>42</v>
      </c>
      <c r="O68" s="1">
        <f>POWER((C44-C$58),2)</f>
        <v>1.7208293839103499E-4</v>
      </c>
      <c r="P68" s="1">
        <f>POWER((D44-D$58),2)</f>
        <v>1.1144559333001965E-3</v>
      </c>
      <c r="Q68" s="1">
        <f>POWER((E44-E$58),2)</f>
        <v>8.1133381770055345E-5</v>
      </c>
      <c r="R68" s="1">
        <f>POWER((F44-F$58),2)</f>
        <v>5.311660198063933E-4</v>
      </c>
      <c r="S68" s="1">
        <f>POWER((G44-G$58),2)</f>
        <v>1.6051797475333466E-3</v>
      </c>
      <c r="T68" s="1">
        <f>POWER((H44-H$58),2)</f>
        <v>1.8731583536468206E-3</v>
      </c>
      <c r="U68" s="1">
        <f>POWER((I44-I$58),2)</f>
        <v>2.3040234475303341E-3</v>
      </c>
      <c r="V68" s="1">
        <f>POWER((J44-J$58),2)</f>
        <v>4.5040183772038916E-3</v>
      </c>
      <c r="W68"/>
      <c r="X68"/>
    </row>
    <row r="69" spans="2:24" x14ac:dyDescent="0.45">
      <c r="B69" s="5" t="s">
        <v>43</v>
      </c>
      <c r="C69" s="1">
        <f>POWER((C45-C$57),2)</f>
        <v>1.043933650522318E-3</v>
      </c>
      <c r="D69" s="1">
        <f>POWER((D45-D$57),2)</f>
        <v>0</v>
      </c>
      <c r="E69" s="1">
        <f>POWER((E45-E$57),2)</f>
        <v>3.6310847798122873E-5</v>
      </c>
      <c r="F69" s="1">
        <f>POWER((F45-F$57),2)</f>
        <v>0</v>
      </c>
      <c r="G69" s="1">
        <f>POWER((G45-G$57),2)</f>
        <v>5.9183738877616366E-6</v>
      </c>
      <c r="H69" s="1">
        <f>POWER((H45-H$57),2)</f>
        <v>9.1457702964844743E-5</v>
      </c>
      <c r="I69" s="1">
        <f>POWER((I45-I$57),2)</f>
        <v>9.0090269019553297E-4</v>
      </c>
      <c r="J69" s="1">
        <f>POWER((J45-J$57),2)</f>
        <v>2.2120708386235426E-3</v>
      </c>
      <c r="K69"/>
      <c r="L69"/>
      <c r="N69" s="5" t="s">
        <v>43</v>
      </c>
      <c r="O69" s="1">
        <f>POWER((C45-C$58),2)</f>
        <v>1.0065271812874494E-4</v>
      </c>
      <c r="P69" s="1">
        <f>POWER((D45-D$58),2)</f>
        <v>1.2662787455645272E-3</v>
      </c>
      <c r="Q69" s="1">
        <f>POWER((E45-E$58),2)</f>
        <v>4.1775989941013537E-4</v>
      </c>
      <c r="R69" s="1">
        <f>POWER((F45-F$58),2)</f>
        <v>1.5794179053399797E-3</v>
      </c>
      <c r="S69" s="1">
        <f>POWER((G45-G$58),2)</f>
        <v>1.4161616814929597E-3</v>
      </c>
      <c r="T69" s="1">
        <f>POWER((H45-H$58),2)</f>
        <v>1.1368123109957171E-3</v>
      </c>
      <c r="U69" s="1">
        <f>POWER((I45-I$58),2)</f>
        <v>3.2346753337031289E-4</v>
      </c>
      <c r="V69" s="1">
        <f>POWER((J45-J$58),2)</f>
        <v>4.0317936098640059E-4</v>
      </c>
      <c r="W69"/>
      <c r="X69"/>
    </row>
    <row r="70" spans="2:24" x14ac:dyDescent="0.45">
      <c r="B70" s="5" t="s">
        <v>44</v>
      </c>
      <c r="C70" s="1">
        <f>POWER((C46-C$57),2)</f>
        <v>0</v>
      </c>
      <c r="D70" s="1">
        <f>POWER((D46-D$57),2)</f>
        <v>1.3600525561488247E-4</v>
      </c>
      <c r="E70" s="1">
        <f>POWER((E46-E$57),2)</f>
        <v>4.4613189163299969E-4</v>
      </c>
      <c r="F70" s="1">
        <f>POWER((F46-F$57),2)</f>
        <v>1.2434639699269662E-3</v>
      </c>
      <c r="G70" s="1">
        <f>POWER((G46-G$57),2)</f>
        <v>1.6051797475333466E-3</v>
      </c>
      <c r="H70" s="1">
        <f>POWER((H46-H$57),2)</f>
        <v>1.748118644389281E-5</v>
      </c>
      <c r="I70" s="1">
        <f>POWER((I46-I$57),2)</f>
        <v>1.1042952618340654E-3</v>
      </c>
      <c r="J70" s="1">
        <f>POWER((J46-J$57),2)</f>
        <v>3.4351234963808435E-3</v>
      </c>
      <c r="K70"/>
      <c r="L70"/>
      <c r="N70" s="5" t="s">
        <v>44</v>
      </c>
      <c r="O70" s="1">
        <f>POWER((C46-C$58),2)</f>
        <v>1.7928911101766345E-3</v>
      </c>
      <c r="P70" s="1">
        <f>POWER((D46-D$58),2)</f>
        <v>5.7229468927184966E-4</v>
      </c>
      <c r="Q70" s="1">
        <f>POWER((E46-E$58),2)</f>
        <v>2.8549673329629158E-5</v>
      </c>
      <c r="R70" s="1">
        <f>POWER((F46-F$58),2)</f>
        <v>2.0062395708703311E-5</v>
      </c>
      <c r="S70" s="1">
        <f>POWER((G46-G$58),2)</f>
        <v>0</v>
      </c>
      <c r="T70" s="1">
        <f>POWER((H46-H$58),2)</f>
        <v>1.5287277805744728E-3</v>
      </c>
      <c r="U70" s="1">
        <f>POWER((I46-I$58),2)</f>
        <v>2.1813239739932149E-4</v>
      </c>
      <c r="V70" s="1">
        <f>POWER((J46-J$58),2)</f>
        <v>7.2284977552062248E-5</v>
      </c>
      <c r="W70"/>
      <c r="X70"/>
    </row>
    <row r="71" spans="2:24" x14ac:dyDescent="0.45">
      <c r="B71" s="5" t="s">
        <v>45</v>
      </c>
      <c r="C71" s="1">
        <f>POWER((C47-C$57),2)</f>
        <v>5.8457045936921503E-5</v>
      </c>
      <c r="D71" s="1">
        <f>POWER((D47-D$57),2)</f>
        <v>1.0305950706309789E-4</v>
      </c>
      <c r="E71" s="1">
        <f>POWER((E47-E$57),2)</f>
        <v>1.126268098818599E-4</v>
      </c>
      <c r="F71" s="1">
        <f>POWER((F47-F$57),2)</f>
        <v>1.0452939257034775E-3</v>
      </c>
      <c r="G71" s="1">
        <f>POWER((G47-G$57),2)</f>
        <v>1.2057563374513094E-3</v>
      </c>
      <c r="H71" s="1">
        <f>POWER((H47-H$57),2)</f>
        <v>2.0712041334910054E-4</v>
      </c>
      <c r="I71" s="1">
        <f>POWER((I47-I$57),2)</f>
        <v>1.4892473042007787E-3</v>
      </c>
      <c r="J71" s="1">
        <f>POWER((J47-J$57),2)</f>
        <v>3.650440450791242E-3</v>
      </c>
      <c r="K71"/>
      <c r="L71"/>
      <c r="N71" s="5" t="s">
        <v>45</v>
      </c>
      <c r="O71" s="1">
        <f>POWER((C47-C$58),2)</f>
        <v>1.2038696067005468E-3</v>
      </c>
      <c r="P71" s="1">
        <f>POWER((D47-D$58),2)</f>
        <v>6.468368662694864E-4</v>
      </c>
      <c r="Q71" s="1">
        <f>POWER((E47-E$58),2)</f>
        <v>2.5130004421085534E-4</v>
      </c>
      <c r="R71" s="1">
        <f>POWER((F47-F$58),2)</f>
        <v>5.4921222764883334E-5</v>
      </c>
      <c r="S71" s="1">
        <f>POWER((G47-G$58),2)</f>
        <v>2.8522993197726162E-5</v>
      </c>
      <c r="T71" s="1">
        <f>POWER((H47-H$58),2)</f>
        <v>8.3453508152021307E-4</v>
      </c>
      <c r="U71" s="1">
        <f>POWER((I47-I$58),2)</f>
        <v>8.8538260416829253E-5</v>
      </c>
      <c r="V71" s="1">
        <f>POWER((J47-J$58),2)</f>
        <v>4.4797706776266708E-5</v>
      </c>
      <c r="W71"/>
      <c r="X71"/>
    </row>
    <row r="72" spans="2:24" x14ac:dyDescent="0.45">
      <c r="B72" s="5" t="s">
        <v>46</v>
      </c>
      <c r="C72" s="1">
        <f>POWER((C48-C$57),2)</f>
        <v>1.0539895457701953E-3</v>
      </c>
      <c r="D72" s="1">
        <f>POWER((D48-D$57),2)</f>
        <v>2.1774136050597998E-5</v>
      </c>
      <c r="E72" s="1">
        <f>POWER((E48-E$57),2)</f>
        <v>9.8530021968065096E-5</v>
      </c>
      <c r="F72" s="1">
        <f>POWER((F48-F$57),2)</f>
        <v>2.8889849820532715E-5</v>
      </c>
      <c r="G72" s="1">
        <f>POWER((G48-G$57),2)</f>
        <v>1.3309441775951421E-4</v>
      </c>
      <c r="H72" s="1">
        <f>POWER((H48-H$57),2)</f>
        <v>1.3765390820602268E-4</v>
      </c>
      <c r="I72" s="1">
        <f>POWER((I48-I$57),2)</f>
        <v>1.1281712259874903E-3</v>
      </c>
      <c r="J72" s="1">
        <f>POWER((J48-J$57),2)</f>
        <v>3.4563606853492855E-3</v>
      </c>
      <c r="K72"/>
      <c r="L72"/>
      <c r="N72" s="5" t="s">
        <v>46</v>
      </c>
      <c r="O72" s="1">
        <f>POWER((C48-C$58),2)</f>
        <v>9.7561840799708838E-5</v>
      </c>
      <c r="P72" s="1">
        <f>POWER((D48-D$58),2)</f>
        <v>9.5595575314875276E-4</v>
      </c>
      <c r="Q72" s="1">
        <f>POWER((E48-E$58),2)</f>
        <v>2.7353173740296652E-4</v>
      </c>
      <c r="R72" s="1">
        <f>POWER((F48-F$58),2)</f>
        <v>1.1810881578144525E-3</v>
      </c>
      <c r="S72" s="1">
        <f>POWER((G48-G$58),2)</f>
        <v>8.1384901657109482E-4</v>
      </c>
      <c r="T72" s="1">
        <f>POWER((H48-H$58),2)</f>
        <v>9.9523839832888687E-4</v>
      </c>
      <c r="U72" s="1">
        <f>POWER((I48-I$58),2)</f>
        <v>2.0770528292946572E-4</v>
      </c>
      <c r="V72" s="1">
        <f>POWER((J48-J$58),2)</f>
        <v>6.9241744001884864E-5</v>
      </c>
      <c r="W72"/>
      <c r="X72"/>
    </row>
    <row r="73" spans="2:24" x14ac:dyDescent="0.45">
      <c r="B73" s="5" t="s">
        <v>47</v>
      </c>
      <c r="C73" s="1">
        <f>POWER((C49-C$57),2)</f>
        <v>1.2762977344825662E-3</v>
      </c>
      <c r="D73" s="1">
        <f>POWER((D49-D$57),2)</f>
        <v>2.3134178963752015E-4</v>
      </c>
      <c r="E73" s="1">
        <f>POWER((E49-E$57),2)</f>
        <v>1.9631126152045781E-4</v>
      </c>
      <c r="F73" s="1">
        <f>POWER((F49-F$57),2)</f>
        <v>1.4724140400956091E-4</v>
      </c>
      <c r="G73" s="1">
        <f>POWER((G49-G$57),2)</f>
        <v>7.5634426950441102E-4</v>
      </c>
      <c r="H73" s="1">
        <f>POWER((H49-H$57),2)</f>
        <v>4.4339171136275354E-4</v>
      </c>
      <c r="I73" s="1">
        <f>POWER((I49-I$57),2)</f>
        <v>2.0701581658492847E-3</v>
      </c>
      <c r="J73" s="1">
        <f>POWER((J49-J$57),2)</f>
        <v>4.5040183772038916E-3</v>
      </c>
      <c r="K73"/>
      <c r="L73"/>
      <c r="N73" s="5" t="s">
        <v>47</v>
      </c>
      <c r="O73" s="1">
        <f>POWER((C49-C$58),2)</f>
        <v>4.3787805396887223E-5</v>
      </c>
      <c r="P73" s="1">
        <f>POWER((D49-D$58),2)</f>
        <v>4.1513600195669569E-4</v>
      </c>
      <c r="Q73" s="1">
        <f>POWER((E49-E$58),2)</f>
        <v>1.5509992005085477E-4</v>
      </c>
      <c r="R73" s="1">
        <f>POWER((F49-F$58),2)</f>
        <v>7.621787032197992E-4</v>
      </c>
      <c r="S73" s="1">
        <f>POWER((G49-G$58),2)</f>
        <v>1.57828481287518E-4</v>
      </c>
      <c r="T73" s="1">
        <f>POWER((H49-H$58),2)</f>
        <v>4.9386754951006836E-4</v>
      </c>
      <c r="U73" s="1">
        <f>POWER((I49-I$58),2)</f>
        <v>6.2562686819134157E-6</v>
      </c>
      <c r="V73" s="1">
        <f>POWER((J49-J$58),2)</f>
        <v>0</v>
      </c>
      <c r="W73"/>
      <c r="X73"/>
    </row>
    <row r="74" spans="2:24" x14ac:dyDescent="0.45">
      <c r="B74" s="5" t="s">
        <v>48</v>
      </c>
      <c r="C74" s="1">
        <f>POWER((C50-C$57),2)</f>
        <v>3.327362582768426E-4</v>
      </c>
      <c r="D74" s="1">
        <f>POWER((D50-D$57),2)</f>
        <v>9.7495549808646528E-5</v>
      </c>
      <c r="E74" s="1">
        <f>POWER((E50-E$57),2)</f>
        <v>0</v>
      </c>
      <c r="F74" s="1">
        <f>POWER((F50-F$57),2)</f>
        <v>7.4874850443959267E-4</v>
      </c>
      <c r="G74" s="1">
        <f>POWER((G50-G$57),2)</f>
        <v>1.5553160748592319E-5</v>
      </c>
      <c r="H74" s="1">
        <f>POWER((H50-H$57),2)</f>
        <v>4.7284343120656375E-4</v>
      </c>
      <c r="I74" s="1">
        <f>POWER((I50-I$57),2)</f>
        <v>1.6303325469255612E-3</v>
      </c>
      <c r="J74" s="1">
        <f>POWER((J50-J$57),2)</f>
        <v>3.8498213327399591E-3</v>
      </c>
      <c r="K74"/>
      <c r="L74"/>
      <c r="N74" s="5" t="s">
        <v>48</v>
      </c>
      <c r="O74" s="1">
        <f>POWER((C50-C$58),2)</f>
        <v>5.8088159066609286E-4</v>
      </c>
      <c r="P74" s="1">
        <f>POWER((D50-D$58),2)</f>
        <v>6.6104663116799448E-4</v>
      </c>
      <c r="Q74" s="1">
        <f>POWER((E50-E$58),2)</f>
        <v>7.0039749056870259E-4</v>
      </c>
      <c r="R74" s="1">
        <f>POWER((F50-F$58),2)</f>
        <v>1.5323027783599376E-4</v>
      </c>
      <c r="S74" s="1">
        <f>POWER((G50-G$58),2)</f>
        <v>1.3047226638671669E-3</v>
      </c>
      <c r="T74" s="1">
        <f>POWER((H50-H$58),2)</f>
        <v>4.6375778034004765E-4</v>
      </c>
      <c r="U74" s="1">
        <f>POWER((I50-I$58),2)</f>
        <v>5.8108110025209517E-5</v>
      </c>
      <c r="V74" s="1">
        <f>POWER((J50-J$58),2)</f>
        <v>2.565478605740912E-5</v>
      </c>
      <c r="W74"/>
      <c r="X74"/>
    </row>
    <row r="75" spans="2:24" x14ac:dyDescent="0.45">
      <c r="B75" s="5" t="s">
        <v>49</v>
      </c>
      <c r="C75" s="1">
        <f>POWER((C51-C$57),2)</f>
        <v>1.1850908700236E-3</v>
      </c>
      <c r="D75" s="1">
        <f>POWER((D51-D$57),2)</f>
        <v>5.4634980570685031E-4</v>
      </c>
      <c r="E75" s="1">
        <f>POWER((E51-E$57),2)</f>
        <v>1.0606783212700459E-4</v>
      </c>
      <c r="F75" s="1">
        <f>POWER((F51-F$57),2)</f>
        <v>6.9193047335315918E-4</v>
      </c>
      <c r="G75" s="1">
        <f>POWER((G51-G$57),2)</f>
        <v>1.0867651980434162E-4</v>
      </c>
      <c r="H75" s="1">
        <f>POWER((H51-H$57),2)</f>
        <v>1.1529916805522262E-3</v>
      </c>
      <c r="I75" s="1">
        <f>POWER((I51-I$57),2)</f>
        <v>2.1028014180875672E-3</v>
      </c>
      <c r="J75" s="1">
        <f>POWER((J51-J$57),2)</f>
        <v>3.3090747261089819E-3</v>
      </c>
      <c r="K75"/>
      <c r="L75"/>
      <c r="N75" s="5" t="s">
        <v>49</v>
      </c>
      <c r="O75" s="1">
        <f>POWER((C51-C$58),2)</f>
        <v>6.2685161269574843E-5</v>
      </c>
      <c r="P75" s="1">
        <f>POWER((D51-D$58),2)</f>
        <v>1.491007978390597E-4</v>
      </c>
      <c r="Q75" s="1">
        <f>POWER((E51-E$58),2)</f>
        <v>2.6134279169257046E-4</v>
      </c>
      <c r="R75" s="1">
        <f>POWER((F51-F$58),2)</f>
        <v>1.8056156137832976E-4</v>
      </c>
      <c r="S75" s="1">
        <f>POWER((G51-G$58),2)</f>
        <v>8.7852316342683324E-4</v>
      </c>
      <c r="T75" s="1">
        <f>POWER((H51-H$58),2)</f>
        <v>8.6941978880955562E-5</v>
      </c>
      <c r="U75" s="1">
        <f>POWER((I51-I$58),2)</f>
        <v>4.5964422969159762E-6</v>
      </c>
      <c r="V75" s="1">
        <f>POWER((J51-J$58),2)</f>
        <v>9.1918742391916154E-5</v>
      </c>
      <c r="W75"/>
      <c r="X75"/>
    </row>
    <row r="76" spans="2:24" x14ac:dyDescent="0.45">
      <c r="B76" s="5" t="s">
        <v>50</v>
      </c>
      <c r="C76" s="1">
        <f>POWER((C52-C$57),2)</f>
        <v>1.7928911101766345E-3</v>
      </c>
      <c r="D76" s="1">
        <f>POWER((D52-D$57),2)</f>
        <v>1.2662787455645272E-3</v>
      </c>
      <c r="E76" s="1">
        <f>POWER((E52-E$57),2)</f>
        <v>7.0039749056870259E-4</v>
      </c>
      <c r="F76" s="1">
        <f>POWER((F52-F$57),2)</f>
        <v>1.5794179053399797E-3</v>
      </c>
      <c r="G76" s="1">
        <f>POWER((G52-G$57),2)</f>
        <v>7.3148847184561011E-9</v>
      </c>
      <c r="H76" s="1">
        <f>POWER((H52-H$57),2)</f>
        <v>1.8731583536468206E-3</v>
      </c>
      <c r="I76" s="1">
        <f>POWER((I52-I$57),2)</f>
        <v>2.3040234475303341E-3</v>
      </c>
      <c r="J76" s="1">
        <f>POWER((J52-J$57),2)</f>
        <v>3.3508291993350711E-3</v>
      </c>
      <c r="K76"/>
      <c r="L76"/>
      <c r="N76" s="5" t="s">
        <v>50</v>
      </c>
      <c r="O76" s="1">
        <f>POWER((C52-C$58),2)</f>
        <v>0</v>
      </c>
      <c r="P76" s="1">
        <f>POWER((D52-D$58),2)</f>
        <v>0</v>
      </c>
      <c r="Q76" s="1">
        <f>POWER((E52-E$58),2)</f>
        <v>0</v>
      </c>
      <c r="R76" s="1">
        <f>POWER((F52-F$58),2)</f>
        <v>0</v>
      </c>
      <c r="S76" s="1">
        <f>POWER((G52-G$58),2)</f>
        <v>1.5983338282018408E-3</v>
      </c>
      <c r="T76" s="1">
        <f>POWER((H52-H$58),2)</f>
        <v>0</v>
      </c>
      <c r="U76" s="1">
        <f>POWER((I52-I$58),2)</f>
        <v>0</v>
      </c>
      <c r="V76" s="1">
        <f>POWER((J52-J$58),2)</f>
        <v>8.5112370580766737E-5</v>
      </c>
      <c r="W76"/>
      <c r="X76"/>
    </row>
    <row r="77" spans="2:24" customFormat="1" x14ac:dyDescent="0.45"/>
    <row r="78" spans="2:24" s="6" customFormat="1" x14ac:dyDescent="0.45">
      <c r="X78"/>
    </row>
    <row r="79" spans="2:24" x14ac:dyDescent="0.45">
      <c r="C79" s="26"/>
      <c r="D79" s="26" t="s">
        <v>34</v>
      </c>
      <c r="E79" s="26"/>
      <c r="G79" s="26"/>
      <c r="H79" s="27" t="s">
        <v>37</v>
      </c>
      <c r="I79" s="26"/>
    </row>
    <row r="80" spans="2:24" x14ac:dyDescent="0.45">
      <c r="C80" s="24"/>
      <c r="D80" s="24"/>
      <c r="E80" s="24"/>
      <c r="G80" s="24"/>
      <c r="H80" s="25"/>
      <c r="I80" s="24"/>
      <c r="K80"/>
      <c r="L80"/>
      <c r="M80"/>
    </row>
    <row r="81" spans="3:18" x14ac:dyDescent="0.45">
      <c r="C81" s="24"/>
      <c r="D81" s="24"/>
      <c r="E81" s="24"/>
      <c r="G81" s="24"/>
      <c r="H81" s="25"/>
      <c r="I81" s="24"/>
      <c r="K81"/>
      <c r="L81"/>
      <c r="M81"/>
    </row>
    <row r="82" spans="3:18" x14ac:dyDescent="0.45">
      <c r="C82" s="24"/>
      <c r="D82" s="24"/>
      <c r="E82" s="24"/>
      <c r="G82" s="24"/>
      <c r="H82" s="25"/>
      <c r="I82" s="24"/>
      <c r="K82" s="26"/>
      <c r="L82" s="27" t="s">
        <v>36</v>
      </c>
      <c r="M82" s="26"/>
    </row>
    <row r="83" spans="3:18" x14ac:dyDescent="0.45">
      <c r="C83" s="1"/>
      <c r="D83" s="5" t="s">
        <v>28</v>
      </c>
      <c r="E83" s="5" t="s">
        <v>29</v>
      </c>
      <c r="G83" s="1"/>
      <c r="H83" s="5" t="s">
        <v>33</v>
      </c>
      <c r="K83" s="1"/>
      <c r="L83" s="5" t="s">
        <v>33</v>
      </c>
      <c r="M83" s="6"/>
      <c r="N83" s="6"/>
      <c r="O83" s="6"/>
      <c r="P83" s="6"/>
      <c r="Q83" s="6"/>
      <c r="R83" s="6"/>
    </row>
    <row r="84" spans="3:18" x14ac:dyDescent="0.45">
      <c r="C84" s="5" t="s">
        <v>39</v>
      </c>
      <c r="D84" s="1">
        <f>SQRT((SUM(C65:L65)))</f>
        <v>7.5434786612621096E-2</v>
      </c>
      <c r="E84" s="1">
        <f>SQRT((SUM(O65:X65)))</f>
        <v>6.4865955998377731E-2</v>
      </c>
      <c r="G84" s="5" t="s">
        <v>39</v>
      </c>
      <c r="H84" s="1">
        <f>E84/(SUM(D84:E84))</f>
        <v>0.46233508669463436</v>
      </c>
      <c r="K84" s="5" t="s">
        <v>39</v>
      </c>
      <c r="L84" s="1">
        <f>RANK(H84,$H$84:$H$96)</f>
        <v>5</v>
      </c>
      <c r="M84" s="6"/>
      <c r="N84"/>
      <c r="O84" s="6"/>
      <c r="P84" s="6"/>
      <c r="Q84" s="6"/>
      <c r="R84" s="6"/>
    </row>
    <row r="85" spans="3:18" x14ac:dyDescent="0.45">
      <c r="C85" s="5" t="s">
        <v>40</v>
      </c>
      <c r="D85" s="1">
        <f>SQRT((SUM(C66:L66)))</f>
        <v>6.4448688872825552E-2</v>
      </c>
      <c r="E85" s="1">
        <f>SQRT((SUM(O66:X66)))</f>
        <v>7.2697526709050095E-2</v>
      </c>
      <c r="G85" s="5" t="s">
        <v>40</v>
      </c>
      <c r="H85" s="1">
        <f t="shared" ref="H85:H95" si="1">E85/(SUM(D85:E85))</f>
        <v>0.53007315149465439</v>
      </c>
      <c r="K85" s="5" t="s">
        <v>40</v>
      </c>
      <c r="L85" s="1">
        <f t="shared" ref="L85:L95" si="2">RANK(H85,$H$84:$H$96)</f>
        <v>3</v>
      </c>
      <c r="M85" s="6"/>
      <c r="N85"/>
      <c r="O85" s="6"/>
      <c r="P85" s="6"/>
      <c r="Q85" s="6"/>
      <c r="R85" s="6"/>
    </row>
    <row r="86" spans="3:18" x14ac:dyDescent="0.45">
      <c r="C86" s="5" t="s">
        <v>41</v>
      </c>
      <c r="D86" s="1">
        <f>SQRT((SUM(C67:L67)))</f>
        <v>9.4440640390369965E-2</v>
      </c>
      <c r="E86" s="1">
        <f>SQRT((SUM(O67:X67)))</f>
        <v>5.4800347461909357E-2</v>
      </c>
      <c r="G86" s="5" t="s">
        <v>41</v>
      </c>
      <c r="H86" s="1">
        <f t="shared" si="1"/>
        <v>0.36719367950144804</v>
      </c>
      <c r="K86" s="5" t="s">
        <v>41</v>
      </c>
      <c r="L86" s="1">
        <f t="shared" si="2"/>
        <v>9</v>
      </c>
      <c r="M86" s="6"/>
      <c r="N86"/>
      <c r="O86" s="6"/>
      <c r="P86" s="6"/>
      <c r="Q86" s="6"/>
      <c r="R86" s="6"/>
    </row>
    <row r="87" spans="3:18" x14ac:dyDescent="0.45">
      <c r="C87" s="5" t="s">
        <v>42</v>
      </c>
      <c r="D87" s="1">
        <f>SQRT((SUM(C68:L68)))</f>
        <v>3.7978996005358368E-2</v>
      </c>
      <c r="E87" s="1">
        <f>SQRT((SUM(O68:X68)))</f>
        <v>0.11038667582268284</v>
      </c>
      <c r="G87" s="5" t="s">
        <v>42</v>
      </c>
      <c r="H87" s="1">
        <f>E87/(SUM(D87:E87))</f>
        <v>0.74401763199389681</v>
      </c>
      <c r="K87" s="5" t="s">
        <v>42</v>
      </c>
      <c r="L87" s="1">
        <f t="shared" si="2"/>
        <v>1</v>
      </c>
      <c r="M87" s="6"/>
      <c r="N87"/>
      <c r="O87" s="6"/>
      <c r="P87" s="6"/>
      <c r="Q87" s="6"/>
      <c r="R87" s="6"/>
    </row>
    <row r="88" spans="3:18" x14ac:dyDescent="0.45">
      <c r="C88" s="5" t="s">
        <v>43</v>
      </c>
      <c r="D88" s="1">
        <f>SQRT((SUM(C69:L69)))</f>
        <v>6.5502626695363317E-2</v>
      </c>
      <c r="E88" s="1">
        <f>SQRT((SUM(O69:X69)))</f>
        <v>8.1509080201464537E-2</v>
      </c>
      <c r="G88" s="5" t="s">
        <v>43</v>
      </c>
      <c r="H88" s="1">
        <f t="shared" si="1"/>
        <v>0.55443938392380709</v>
      </c>
      <c r="K88" s="5" t="s">
        <v>43</v>
      </c>
      <c r="L88" s="1">
        <f t="shared" si="2"/>
        <v>2</v>
      </c>
      <c r="M88" s="6"/>
      <c r="N88"/>
      <c r="O88" s="6"/>
      <c r="P88" s="6"/>
      <c r="Q88" s="6"/>
      <c r="R88" s="6"/>
    </row>
    <row r="89" spans="3:18" x14ac:dyDescent="0.45">
      <c r="C89" s="5" t="s">
        <v>44</v>
      </c>
      <c r="D89" s="1">
        <f>SQRT((SUM(C70:L70)))</f>
        <v>8.9373826198540909E-2</v>
      </c>
      <c r="E89" s="1">
        <f>SQRT((SUM(O70:X70)))</f>
        <v>6.5061071494501785E-2</v>
      </c>
      <c r="G89" s="5" t="s">
        <v>44</v>
      </c>
      <c r="H89" s="1">
        <f t="shared" si="1"/>
        <v>0.42128477738119935</v>
      </c>
      <c r="K89" s="5" t="s">
        <v>44</v>
      </c>
      <c r="L89" s="1">
        <f t="shared" si="2"/>
        <v>7</v>
      </c>
      <c r="M89" s="6"/>
      <c r="N89"/>
      <c r="O89" s="6"/>
      <c r="P89" s="6"/>
      <c r="Q89" s="6"/>
      <c r="R89" s="6"/>
    </row>
    <row r="90" spans="3:18" x14ac:dyDescent="0.45">
      <c r="C90" s="5" t="s">
        <v>45</v>
      </c>
      <c r="D90" s="1">
        <f>SQRT((SUM(C71:L71)))</f>
        <v>8.8724302163374541E-2</v>
      </c>
      <c r="E90" s="1">
        <f>SQRT((SUM(O71:X71)))</f>
        <v>5.6154445788884844E-2</v>
      </c>
      <c r="G90" s="5" t="s">
        <v>45</v>
      </c>
      <c r="H90" s="1">
        <f t="shared" si="1"/>
        <v>0.38759615597581587</v>
      </c>
      <c r="K90" s="5" t="s">
        <v>45</v>
      </c>
      <c r="L90" s="1">
        <f t="shared" si="2"/>
        <v>8</v>
      </c>
      <c r="M90" s="6"/>
      <c r="N90"/>
      <c r="O90" s="6"/>
      <c r="P90" s="6"/>
      <c r="Q90" s="6"/>
      <c r="R90" s="6"/>
    </row>
    <row r="91" spans="3:18" x14ac:dyDescent="0.45">
      <c r="C91" s="5" t="s">
        <v>46</v>
      </c>
      <c r="D91" s="1">
        <f>SQRT((SUM(C72:L72)))</f>
        <v>7.7836134223840434E-2</v>
      </c>
      <c r="E91" s="1">
        <f>SQRT((SUM(O72:X72)))</f>
        <v>6.7780321119018105E-2</v>
      </c>
      <c r="G91" s="5" t="s">
        <v>46</v>
      </c>
      <c r="H91" s="1">
        <f t="shared" si="1"/>
        <v>0.46547157709221249</v>
      </c>
      <c r="K91" s="5" t="s">
        <v>46</v>
      </c>
      <c r="L91" s="1">
        <f t="shared" si="2"/>
        <v>4</v>
      </c>
      <c r="M91" s="6"/>
      <c r="N91"/>
      <c r="O91" s="6"/>
    </row>
    <row r="92" spans="3:18" x14ac:dyDescent="0.45">
      <c r="C92" s="5" t="s">
        <v>47</v>
      </c>
      <c r="D92" s="1">
        <f>SQRT((SUM(C73:L73)))</f>
        <v>9.8107618020062265E-2</v>
      </c>
      <c r="E92" s="1">
        <f>SQRT((SUM(O73:X73)))</f>
        <v>4.5101604518062728E-2</v>
      </c>
      <c r="G92" s="5" t="s">
        <v>47</v>
      </c>
      <c r="H92" s="1">
        <f t="shared" si="1"/>
        <v>0.31493505598814237</v>
      </c>
      <c r="K92" s="5" t="s">
        <v>47</v>
      </c>
      <c r="L92" s="1">
        <f t="shared" si="2"/>
        <v>10</v>
      </c>
      <c r="N92"/>
    </row>
    <row r="93" spans="3:18" x14ac:dyDescent="0.45">
      <c r="C93" s="5" t="s">
        <v>48</v>
      </c>
      <c r="D93" s="1">
        <f>SQRT((SUM(C74:L74)))</f>
        <v>8.4543070586215158E-2</v>
      </c>
      <c r="E93" s="1">
        <f>SQRT((SUM(O74:X74)))</f>
        <v>6.2831515424415924E-2</v>
      </c>
      <c r="G93" s="5" t="s">
        <v>48</v>
      </c>
      <c r="H93" s="1">
        <f t="shared" si="1"/>
        <v>0.4263388764999379</v>
      </c>
      <c r="K93" s="5" t="s">
        <v>48</v>
      </c>
      <c r="L93" s="1">
        <f t="shared" si="2"/>
        <v>6</v>
      </c>
      <c r="N93"/>
    </row>
    <row r="94" spans="3:18" x14ac:dyDescent="0.45">
      <c r="C94" s="5" t="s">
        <v>49</v>
      </c>
      <c r="D94" s="1">
        <f>SQRT((SUM(C75:L75)))</f>
        <v>9.5932180866296013E-2</v>
      </c>
      <c r="E94" s="1">
        <f>SQRT((SUM(O75:X75)))</f>
        <v>4.1420654741036581E-2</v>
      </c>
      <c r="G94" s="5" t="s">
        <v>49</v>
      </c>
      <c r="H94" s="1">
        <f t="shared" si="1"/>
        <v>0.30156388514213783</v>
      </c>
      <c r="K94" s="5" t="s">
        <v>49</v>
      </c>
      <c r="L94" s="1">
        <f t="shared" si="2"/>
        <v>11</v>
      </c>
      <c r="N94"/>
    </row>
    <row r="95" spans="3:18" x14ac:dyDescent="0.45">
      <c r="C95" s="5" t="s">
        <v>50</v>
      </c>
      <c r="D95" s="1">
        <f>SQRT((SUM(C76:L76)))</f>
        <v>0.11343281521256002</v>
      </c>
      <c r="E95" s="1">
        <f>SQRT((SUM(O76:X76)))</f>
        <v>4.1029820847556811E-2</v>
      </c>
      <c r="G95" s="5" t="s">
        <v>50</v>
      </c>
      <c r="H95" s="1">
        <f t="shared" si="1"/>
        <v>0.26562942271416373</v>
      </c>
      <c r="K95" s="5" t="s">
        <v>50</v>
      </c>
      <c r="L95" s="1">
        <f t="shared" si="2"/>
        <v>12</v>
      </c>
      <c r="N95"/>
    </row>
    <row r="96" spans="3:18" customFormat="1" x14ac:dyDescent="0.45"/>
  </sheetData>
  <mergeCells count="6">
    <mergeCell ref="O61:V61"/>
    <mergeCell ref="C2:J2"/>
    <mergeCell ref="C20:J20"/>
    <mergeCell ref="C39:J39"/>
    <mergeCell ref="C55:J55"/>
    <mergeCell ref="C61:J6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652DB8-DAEA-4082-99BE-5D2EEE892F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Paper</vt:lpstr>
      <vt:lpstr>New Data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iam</dc:creator>
  <cp:lastModifiedBy>ASUS</cp:lastModifiedBy>
  <dcterms:created xsi:type="dcterms:W3CDTF">2023-05-21T06:50:02Z</dcterms:created>
  <dcterms:modified xsi:type="dcterms:W3CDTF">2023-06-02T11:42:54Z</dcterms:modified>
</cp:coreProperties>
</file>